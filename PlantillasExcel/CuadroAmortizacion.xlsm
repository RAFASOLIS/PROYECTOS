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4115" windowHeight="9780"/>
  </bookViews>
  <sheets>
    <sheet name="CUADRO" sheetId="1" r:id="rId1"/>
  </sheets>
  <calcPr calcId="145621"/>
</workbook>
</file>

<file path=xl/calcChain.xml><?xml version="1.0" encoding="utf-8"?>
<calcChain xmlns="http://schemas.openxmlformats.org/spreadsheetml/2006/main">
  <c r="B12" i="1" l="1"/>
  <c r="H9" i="1" l="1"/>
  <c r="H8" i="1"/>
  <c r="C9" i="1"/>
  <c r="B11" i="1" s="1"/>
  <c r="F15" i="1"/>
  <c r="G15" i="1" s="1"/>
  <c r="A16" i="1"/>
  <c r="A17" i="1" s="1"/>
  <c r="H10" i="1" l="1"/>
  <c r="H15" i="1"/>
  <c r="A18" i="1"/>
  <c r="D17" i="1"/>
  <c r="H17" i="1" s="1"/>
  <c r="I17" i="1" s="1"/>
  <c r="D16" i="1"/>
  <c r="I15" i="1"/>
  <c r="B16" i="1"/>
  <c r="C16" i="1" l="1"/>
  <c r="F16" i="1" s="1"/>
  <c r="B17" i="1" s="1"/>
  <c r="H16" i="1"/>
  <c r="I16" i="1" s="1"/>
  <c r="A19" i="1"/>
  <c r="D18" i="1"/>
  <c r="H18" i="1" s="1"/>
  <c r="I18" i="1" s="1"/>
  <c r="E16" i="1"/>
  <c r="C17" i="1"/>
  <c r="E17" i="1" l="1"/>
  <c r="A20" i="1"/>
  <c r="D19" i="1"/>
  <c r="H19" i="1" s="1"/>
  <c r="I19" i="1" s="1"/>
  <c r="F17" i="1"/>
  <c r="B18" i="1" s="1"/>
  <c r="A21" i="1" l="1"/>
  <c r="D20" i="1"/>
  <c r="H20" i="1" s="1"/>
  <c r="I20" i="1" s="1"/>
  <c r="C18" i="1"/>
  <c r="A22" i="1" l="1"/>
  <c r="D21" i="1"/>
  <c r="H21" i="1" s="1"/>
  <c r="I21" i="1" s="1"/>
  <c r="F18" i="1"/>
  <c r="E18" i="1"/>
  <c r="A23" i="1" l="1"/>
  <c r="D22" i="1"/>
  <c r="H22" i="1" s="1"/>
  <c r="I22" i="1" s="1"/>
  <c r="B19" i="1"/>
  <c r="C19" i="1" s="1"/>
  <c r="A24" i="1" l="1"/>
  <c r="D23" i="1"/>
  <c r="H23" i="1" s="1"/>
  <c r="I23" i="1" s="1"/>
  <c r="F19" i="1"/>
  <c r="E19" i="1"/>
  <c r="A25" i="1" l="1"/>
  <c r="D24" i="1"/>
  <c r="H24" i="1" s="1"/>
  <c r="I24" i="1" s="1"/>
  <c r="B20" i="1"/>
  <c r="C20" i="1" s="1"/>
  <c r="E20" i="1" s="1"/>
  <c r="A26" i="1" l="1"/>
  <c r="D25" i="1"/>
  <c r="H25" i="1" s="1"/>
  <c r="I25" i="1" s="1"/>
  <c r="F20" i="1"/>
  <c r="A27" i="1" l="1"/>
  <c r="D26" i="1"/>
  <c r="H26" i="1" s="1"/>
  <c r="I26" i="1" s="1"/>
  <c r="B21" i="1"/>
  <c r="C21" i="1" s="1"/>
  <c r="E21" i="1" s="1"/>
  <c r="A28" i="1" l="1"/>
  <c r="D27" i="1"/>
  <c r="H27" i="1" s="1"/>
  <c r="I27" i="1" s="1"/>
  <c r="F21" i="1"/>
  <c r="A29" i="1" l="1"/>
  <c r="D28" i="1"/>
  <c r="H28" i="1" s="1"/>
  <c r="I28" i="1" s="1"/>
  <c r="B22" i="1"/>
  <c r="C22" i="1" s="1"/>
  <c r="E22" i="1" s="1"/>
  <c r="A30" i="1" l="1"/>
  <c r="D29" i="1"/>
  <c r="H29" i="1" s="1"/>
  <c r="I29" i="1" s="1"/>
  <c r="F22" i="1"/>
  <c r="A31" i="1" l="1"/>
  <c r="D30" i="1"/>
  <c r="H30" i="1" s="1"/>
  <c r="I30" i="1" s="1"/>
  <c r="B23" i="1"/>
  <c r="C23" i="1" s="1"/>
  <c r="E23" i="1" s="1"/>
  <c r="A32" i="1" l="1"/>
  <c r="D31" i="1"/>
  <c r="H31" i="1" s="1"/>
  <c r="I31" i="1" s="1"/>
  <c r="F23" i="1"/>
  <c r="A33" i="1" l="1"/>
  <c r="D32" i="1"/>
  <c r="H32" i="1" s="1"/>
  <c r="I32" i="1" s="1"/>
  <c r="B24" i="1"/>
  <c r="C24" i="1" s="1"/>
  <c r="E24" i="1" s="1"/>
  <c r="A34" i="1" l="1"/>
  <c r="D33" i="1"/>
  <c r="H33" i="1" s="1"/>
  <c r="I33" i="1" s="1"/>
  <c r="F24" i="1"/>
  <c r="A35" i="1" l="1"/>
  <c r="D34" i="1"/>
  <c r="H34" i="1" s="1"/>
  <c r="I34" i="1" s="1"/>
  <c r="B25" i="1"/>
  <c r="C25" i="1" s="1"/>
  <c r="E25" i="1" s="1"/>
  <c r="A36" i="1" l="1"/>
  <c r="D35" i="1"/>
  <c r="H35" i="1" s="1"/>
  <c r="I35" i="1" s="1"/>
  <c r="F25" i="1"/>
  <c r="A37" i="1" l="1"/>
  <c r="D36" i="1"/>
  <c r="H36" i="1" s="1"/>
  <c r="I36" i="1" s="1"/>
  <c r="B26" i="1"/>
  <c r="C26" i="1" s="1"/>
  <c r="E26" i="1" s="1"/>
  <c r="A38" i="1" l="1"/>
  <c r="D37" i="1"/>
  <c r="H37" i="1" s="1"/>
  <c r="I37" i="1" s="1"/>
  <c r="F26" i="1"/>
  <c r="A39" i="1" l="1"/>
  <c r="D38" i="1"/>
  <c r="H38" i="1" s="1"/>
  <c r="I38" i="1" s="1"/>
  <c r="B27" i="1"/>
  <c r="C27" i="1" s="1"/>
  <c r="E27" i="1" s="1"/>
  <c r="A40" i="1" l="1"/>
  <c r="D39" i="1"/>
  <c r="H39" i="1" s="1"/>
  <c r="I39" i="1" s="1"/>
  <c r="F27" i="1"/>
  <c r="A41" i="1" l="1"/>
  <c r="D40" i="1"/>
  <c r="H40" i="1" s="1"/>
  <c r="I40" i="1" s="1"/>
  <c r="B28" i="1"/>
  <c r="C28" i="1" s="1"/>
  <c r="E28" i="1" s="1"/>
  <c r="A42" i="1" l="1"/>
  <c r="D41" i="1"/>
  <c r="H41" i="1" s="1"/>
  <c r="I41" i="1" s="1"/>
  <c r="F28" i="1"/>
  <c r="A43" i="1" l="1"/>
  <c r="D42" i="1"/>
  <c r="H42" i="1" s="1"/>
  <c r="I42" i="1" s="1"/>
  <c r="B29" i="1"/>
  <c r="C29" i="1" s="1"/>
  <c r="E29" i="1" s="1"/>
  <c r="A44" i="1" l="1"/>
  <c r="D43" i="1"/>
  <c r="H43" i="1" s="1"/>
  <c r="I43" i="1" s="1"/>
  <c r="F29" i="1"/>
  <c r="A45" i="1" l="1"/>
  <c r="D44" i="1"/>
  <c r="H44" i="1" s="1"/>
  <c r="I44" i="1" s="1"/>
  <c r="B30" i="1"/>
  <c r="C30" i="1" s="1"/>
  <c r="E30" i="1" s="1"/>
  <c r="A46" i="1" l="1"/>
  <c r="D45" i="1"/>
  <c r="H45" i="1" s="1"/>
  <c r="I45" i="1" s="1"/>
  <c r="F30" i="1"/>
  <c r="A47" i="1" l="1"/>
  <c r="D46" i="1"/>
  <c r="H46" i="1" s="1"/>
  <c r="I46" i="1" s="1"/>
  <c r="B31" i="1"/>
  <c r="C31" i="1" s="1"/>
  <c r="E31" i="1" s="1"/>
  <c r="A48" i="1" l="1"/>
  <c r="D47" i="1"/>
  <c r="H47" i="1" s="1"/>
  <c r="I47" i="1" s="1"/>
  <c r="F31" i="1"/>
  <c r="A49" i="1" l="1"/>
  <c r="D48" i="1"/>
  <c r="H48" i="1" s="1"/>
  <c r="I48" i="1" s="1"/>
  <c r="B32" i="1"/>
  <c r="C32" i="1" s="1"/>
  <c r="E32" i="1" s="1"/>
  <c r="A50" i="1" l="1"/>
  <c r="D49" i="1"/>
  <c r="H49" i="1" s="1"/>
  <c r="I49" i="1" s="1"/>
  <c r="F32" i="1"/>
  <c r="A51" i="1" l="1"/>
  <c r="D50" i="1"/>
  <c r="H50" i="1" s="1"/>
  <c r="I50" i="1" s="1"/>
  <c r="B33" i="1"/>
  <c r="C33" i="1" s="1"/>
  <c r="E33" i="1" s="1"/>
  <c r="A52" i="1" l="1"/>
  <c r="D51" i="1"/>
  <c r="H51" i="1" s="1"/>
  <c r="I51" i="1" s="1"/>
  <c r="F33" i="1"/>
  <c r="A53" i="1" l="1"/>
  <c r="D52" i="1"/>
  <c r="H52" i="1" s="1"/>
  <c r="I52" i="1" s="1"/>
  <c r="B34" i="1"/>
  <c r="C34" i="1" s="1"/>
  <c r="E34" i="1" s="1"/>
  <c r="A54" i="1" l="1"/>
  <c r="D53" i="1"/>
  <c r="H53" i="1" s="1"/>
  <c r="I53" i="1" s="1"/>
  <c r="F34" i="1"/>
  <c r="A55" i="1" l="1"/>
  <c r="D54" i="1"/>
  <c r="H54" i="1" s="1"/>
  <c r="I54" i="1" s="1"/>
  <c r="B35" i="1"/>
  <c r="C35" i="1" s="1"/>
  <c r="E35" i="1" s="1"/>
  <c r="A56" i="1" l="1"/>
  <c r="D55" i="1"/>
  <c r="H55" i="1" s="1"/>
  <c r="I55" i="1" s="1"/>
  <c r="F35" i="1"/>
  <c r="A57" i="1" l="1"/>
  <c r="D56" i="1"/>
  <c r="H56" i="1" s="1"/>
  <c r="I56" i="1" s="1"/>
  <c r="B36" i="1"/>
  <c r="C36" i="1" s="1"/>
  <c r="E36" i="1" s="1"/>
  <c r="A58" i="1" l="1"/>
  <c r="D57" i="1"/>
  <c r="H57" i="1" s="1"/>
  <c r="I57" i="1" s="1"/>
  <c r="F36" i="1"/>
  <c r="A59" i="1" l="1"/>
  <c r="D58" i="1"/>
  <c r="H58" i="1" s="1"/>
  <c r="I58" i="1" s="1"/>
  <c r="B37" i="1"/>
  <c r="C37" i="1" s="1"/>
  <c r="E37" i="1" s="1"/>
  <c r="A60" i="1" l="1"/>
  <c r="D59" i="1"/>
  <c r="H59" i="1" s="1"/>
  <c r="I59" i="1" s="1"/>
  <c r="F37" i="1"/>
  <c r="A61" i="1" l="1"/>
  <c r="D60" i="1"/>
  <c r="H60" i="1" s="1"/>
  <c r="I60" i="1" s="1"/>
  <c r="B38" i="1"/>
  <c r="C38" i="1" s="1"/>
  <c r="E38" i="1" s="1"/>
  <c r="A62" i="1" l="1"/>
  <c r="D61" i="1"/>
  <c r="H61" i="1" s="1"/>
  <c r="I61" i="1" s="1"/>
  <c r="F38" i="1"/>
  <c r="A63" i="1" l="1"/>
  <c r="D62" i="1"/>
  <c r="H62" i="1" s="1"/>
  <c r="I62" i="1" s="1"/>
  <c r="B39" i="1"/>
  <c r="C39" i="1" s="1"/>
  <c r="E39" i="1" s="1"/>
  <c r="A64" i="1" l="1"/>
  <c r="D63" i="1"/>
  <c r="H63" i="1" s="1"/>
  <c r="I63" i="1" s="1"/>
  <c r="F39" i="1"/>
  <c r="A65" i="1" l="1"/>
  <c r="D64" i="1"/>
  <c r="H64" i="1" s="1"/>
  <c r="I64" i="1" s="1"/>
  <c r="B40" i="1"/>
  <c r="C40" i="1" s="1"/>
  <c r="E40" i="1" s="1"/>
  <c r="A66" i="1" l="1"/>
  <c r="D65" i="1"/>
  <c r="H65" i="1" s="1"/>
  <c r="I65" i="1" s="1"/>
  <c r="F40" i="1"/>
  <c r="A67" i="1" l="1"/>
  <c r="D66" i="1"/>
  <c r="H66" i="1" s="1"/>
  <c r="I66" i="1" s="1"/>
  <c r="B41" i="1"/>
  <c r="C41" i="1" s="1"/>
  <c r="E41" i="1" s="1"/>
  <c r="A68" i="1" l="1"/>
  <c r="D67" i="1"/>
  <c r="H67" i="1" s="1"/>
  <c r="I67" i="1" s="1"/>
  <c r="F41" i="1"/>
  <c r="A69" i="1" l="1"/>
  <c r="D68" i="1"/>
  <c r="H68" i="1" s="1"/>
  <c r="I68" i="1" s="1"/>
  <c r="B42" i="1"/>
  <c r="C42" i="1" s="1"/>
  <c r="E42" i="1" s="1"/>
  <c r="A70" i="1" l="1"/>
  <c r="D69" i="1"/>
  <c r="H69" i="1" s="1"/>
  <c r="I69" i="1" s="1"/>
  <c r="F42" i="1"/>
  <c r="A71" i="1" l="1"/>
  <c r="D70" i="1"/>
  <c r="H70" i="1" s="1"/>
  <c r="I70" i="1" s="1"/>
  <c r="B43" i="1"/>
  <c r="C43" i="1" s="1"/>
  <c r="E43" i="1" s="1"/>
  <c r="A72" i="1" l="1"/>
  <c r="D71" i="1"/>
  <c r="H71" i="1" s="1"/>
  <c r="I71" i="1" s="1"/>
  <c r="F43" i="1"/>
  <c r="A73" i="1" l="1"/>
  <c r="D72" i="1"/>
  <c r="H72" i="1" s="1"/>
  <c r="I72" i="1" s="1"/>
  <c r="B44" i="1"/>
  <c r="C44" i="1" s="1"/>
  <c r="E44" i="1" s="1"/>
  <c r="A74" i="1" l="1"/>
  <c r="D73" i="1"/>
  <c r="H73" i="1" s="1"/>
  <c r="I73" i="1" s="1"/>
  <c r="F44" i="1"/>
  <c r="A75" i="1" l="1"/>
  <c r="D74" i="1"/>
  <c r="H74" i="1" s="1"/>
  <c r="I74" i="1" s="1"/>
  <c r="B45" i="1"/>
  <c r="C45" i="1" s="1"/>
  <c r="E45" i="1" s="1"/>
  <c r="A76" i="1" l="1"/>
  <c r="D75" i="1"/>
  <c r="H75" i="1" s="1"/>
  <c r="I75" i="1" s="1"/>
  <c r="F45" i="1"/>
  <c r="A77" i="1" l="1"/>
  <c r="D76" i="1"/>
  <c r="H76" i="1" s="1"/>
  <c r="I76" i="1" s="1"/>
  <c r="B46" i="1"/>
  <c r="C46" i="1" s="1"/>
  <c r="E46" i="1" s="1"/>
  <c r="A78" i="1" l="1"/>
  <c r="D77" i="1"/>
  <c r="H77" i="1" s="1"/>
  <c r="I77" i="1" s="1"/>
  <c r="F46" i="1"/>
  <c r="A79" i="1" l="1"/>
  <c r="D78" i="1"/>
  <c r="H78" i="1" s="1"/>
  <c r="I78" i="1" s="1"/>
  <c r="B47" i="1"/>
  <c r="C47" i="1" s="1"/>
  <c r="E47" i="1" s="1"/>
  <c r="A80" i="1" l="1"/>
  <c r="D79" i="1"/>
  <c r="H79" i="1" s="1"/>
  <c r="I79" i="1" s="1"/>
  <c r="F47" i="1"/>
  <c r="A81" i="1" l="1"/>
  <c r="D80" i="1"/>
  <c r="H80" i="1" s="1"/>
  <c r="I80" i="1" s="1"/>
  <c r="B48" i="1"/>
  <c r="C48" i="1" s="1"/>
  <c r="E48" i="1" s="1"/>
  <c r="A82" i="1" l="1"/>
  <c r="D81" i="1"/>
  <c r="H81" i="1" s="1"/>
  <c r="I81" i="1" s="1"/>
  <c r="F48" i="1"/>
  <c r="A83" i="1" l="1"/>
  <c r="D82" i="1"/>
  <c r="H82" i="1" s="1"/>
  <c r="I82" i="1" s="1"/>
  <c r="B49" i="1"/>
  <c r="C49" i="1" s="1"/>
  <c r="E49" i="1" s="1"/>
  <c r="A84" i="1" l="1"/>
  <c r="D83" i="1"/>
  <c r="H83" i="1" s="1"/>
  <c r="I83" i="1" s="1"/>
  <c r="F49" i="1"/>
  <c r="A85" i="1" l="1"/>
  <c r="D84" i="1"/>
  <c r="H84" i="1" s="1"/>
  <c r="I84" i="1" s="1"/>
  <c r="B50" i="1"/>
  <c r="C50" i="1" s="1"/>
  <c r="E50" i="1" s="1"/>
  <c r="A86" i="1" l="1"/>
  <c r="D85" i="1"/>
  <c r="H85" i="1" s="1"/>
  <c r="I85" i="1" s="1"/>
  <c r="F50" i="1"/>
  <c r="A87" i="1" l="1"/>
  <c r="D86" i="1"/>
  <c r="H86" i="1" s="1"/>
  <c r="I86" i="1" s="1"/>
  <c r="B51" i="1"/>
  <c r="C51" i="1" s="1"/>
  <c r="E51" i="1" s="1"/>
  <c r="A88" i="1" l="1"/>
  <c r="D87" i="1"/>
  <c r="H87" i="1" s="1"/>
  <c r="I87" i="1" s="1"/>
  <c r="F51" i="1"/>
  <c r="A89" i="1" l="1"/>
  <c r="D88" i="1"/>
  <c r="H88" i="1" s="1"/>
  <c r="I88" i="1" s="1"/>
  <c r="B52" i="1"/>
  <c r="C52" i="1" s="1"/>
  <c r="E52" i="1" s="1"/>
  <c r="A90" i="1" l="1"/>
  <c r="D89" i="1"/>
  <c r="H89" i="1" s="1"/>
  <c r="I89" i="1" s="1"/>
  <c r="F52" i="1"/>
  <c r="A91" i="1" l="1"/>
  <c r="D90" i="1"/>
  <c r="H90" i="1" s="1"/>
  <c r="I90" i="1" s="1"/>
  <c r="B53" i="1"/>
  <c r="C53" i="1" s="1"/>
  <c r="E53" i="1" s="1"/>
  <c r="A92" i="1" l="1"/>
  <c r="D91" i="1"/>
  <c r="H91" i="1" s="1"/>
  <c r="I91" i="1" s="1"/>
  <c r="F53" i="1"/>
  <c r="A93" i="1" l="1"/>
  <c r="D92" i="1"/>
  <c r="H92" i="1" s="1"/>
  <c r="I92" i="1" s="1"/>
  <c r="B54" i="1"/>
  <c r="C54" i="1" s="1"/>
  <c r="E54" i="1" s="1"/>
  <c r="A94" i="1" l="1"/>
  <c r="D93" i="1"/>
  <c r="H93" i="1" s="1"/>
  <c r="I93" i="1" s="1"/>
  <c r="F54" i="1"/>
  <c r="A95" i="1" l="1"/>
  <c r="D94" i="1"/>
  <c r="H94" i="1" s="1"/>
  <c r="I94" i="1" s="1"/>
  <c r="B55" i="1"/>
  <c r="C55" i="1" s="1"/>
  <c r="E55" i="1" s="1"/>
  <c r="A96" i="1" l="1"/>
  <c r="D95" i="1"/>
  <c r="H95" i="1" s="1"/>
  <c r="I95" i="1" s="1"/>
  <c r="F55" i="1"/>
  <c r="A97" i="1" l="1"/>
  <c r="D96" i="1"/>
  <c r="H96" i="1" s="1"/>
  <c r="I96" i="1" s="1"/>
  <c r="B56" i="1"/>
  <c r="C56" i="1" s="1"/>
  <c r="E56" i="1" s="1"/>
  <c r="A98" i="1" l="1"/>
  <c r="D97" i="1"/>
  <c r="H97" i="1" s="1"/>
  <c r="I97" i="1" s="1"/>
  <c r="F56" i="1"/>
  <c r="A99" i="1" l="1"/>
  <c r="D98" i="1"/>
  <c r="H98" i="1" s="1"/>
  <c r="I98" i="1" s="1"/>
  <c r="B57" i="1"/>
  <c r="C57" i="1" s="1"/>
  <c r="E57" i="1" s="1"/>
  <c r="A100" i="1" l="1"/>
  <c r="D99" i="1"/>
  <c r="H99" i="1" s="1"/>
  <c r="I99" i="1" s="1"/>
  <c r="F57" i="1"/>
  <c r="A101" i="1" l="1"/>
  <c r="D100" i="1"/>
  <c r="H100" i="1" s="1"/>
  <c r="I100" i="1" s="1"/>
  <c r="B58" i="1"/>
  <c r="C58" i="1" s="1"/>
  <c r="E58" i="1" s="1"/>
  <c r="A102" i="1" l="1"/>
  <c r="D101" i="1"/>
  <c r="H101" i="1" s="1"/>
  <c r="I101" i="1" s="1"/>
  <c r="F58" i="1"/>
  <c r="A103" i="1" l="1"/>
  <c r="D102" i="1"/>
  <c r="H102" i="1" s="1"/>
  <c r="I102" i="1" s="1"/>
  <c r="B59" i="1"/>
  <c r="C59" i="1" s="1"/>
  <c r="E59" i="1" s="1"/>
  <c r="A104" i="1" l="1"/>
  <c r="D103" i="1"/>
  <c r="H103" i="1" s="1"/>
  <c r="I103" i="1" s="1"/>
  <c r="F59" i="1"/>
  <c r="A105" i="1" l="1"/>
  <c r="D104" i="1"/>
  <c r="H104" i="1" s="1"/>
  <c r="I104" i="1" s="1"/>
  <c r="B60" i="1"/>
  <c r="C60" i="1" s="1"/>
  <c r="E60" i="1" s="1"/>
  <c r="A106" i="1" l="1"/>
  <c r="D105" i="1"/>
  <c r="H105" i="1" s="1"/>
  <c r="I105" i="1" s="1"/>
  <c r="F60" i="1"/>
  <c r="A107" i="1" l="1"/>
  <c r="D106" i="1"/>
  <c r="H106" i="1" s="1"/>
  <c r="I106" i="1" s="1"/>
  <c r="B61" i="1"/>
  <c r="C61" i="1" s="1"/>
  <c r="E61" i="1" s="1"/>
  <c r="A108" i="1" l="1"/>
  <c r="D107" i="1"/>
  <c r="H107" i="1" s="1"/>
  <c r="I107" i="1" s="1"/>
  <c r="F61" i="1"/>
  <c r="A109" i="1" l="1"/>
  <c r="D108" i="1"/>
  <c r="H108" i="1" s="1"/>
  <c r="I108" i="1" s="1"/>
  <c r="B62" i="1"/>
  <c r="C62" i="1" s="1"/>
  <c r="E62" i="1" s="1"/>
  <c r="A110" i="1" l="1"/>
  <c r="D109" i="1"/>
  <c r="H109" i="1" s="1"/>
  <c r="I109" i="1" s="1"/>
  <c r="F62" i="1"/>
  <c r="A111" i="1" l="1"/>
  <c r="D110" i="1"/>
  <c r="H110" i="1" s="1"/>
  <c r="I110" i="1" s="1"/>
  <c r="B63" i="1"/>
  <c r="C63" i="1" s="1"/>
  <c r="E63" i="1" s="1"/>
  <c r="A112" i="1" l="1"/>
  <c r="D111" i="1"/>
  <c r="H111" i="1" s="1"/>
  <c r="I111" i="1" s="1"/>
  <c r="F63" i="1"/>
  <c r="A113" i="1" l="1"/>
  <c r="D112" i="1"/>
  <c r="H112" i="1" s="1"/>
  <c r="I112" i="1" s="1"/>
  <c r="B64" i="1"/>
  <c r="C64" i="1" s="1"/>
  <c r="E64" i="1" s="1"/>
  <c r="A114" i="1" l="1"/>
  <c r="D113" i="1"/>
  <c r="H113" i="1" s="1"/>
  <c r="I113" i="1" s="1"/>
  <c r="F64" i="1"/>
  <c r="A115" i="1" l="1"/>
  <c r="D114" i="1"/>
  <c r="H114" i="1" s="1"/>
  <c r="I114" i="1" s="1"/>
  <c r="B65" i="1"/>
  <c r="C65" i="1" s="1"/>
  <c r="E65" i="1" s="1"/>
  <c r="A116" i="1" l="1"/>
  <c r="D115" i="1"/>
  <c r="H115" i="1" s="1"/>
  <c r="I115" i="1" s="1"/>
  <c r="F65" i="1"/>
  <c r="A117" i="1" l="1"/>
  <c r="D116" i="1"/>
  <c r="H116" i="1" s="1"/>
  <c r="I116" i="1" s="1"/>
  <c r="B66" i="1"/>
  <c r="C66" i="1" s="1"/>
  <c r="E66" i="1" s="1"/>
  <c r="A118" i="1" l="1"/>
  <c r="D117" i="1"/>
  <c r="H117" i="1" s="1"/>
  <c r="I117" i="1" s="1"/>
  <c r="F66" i="1"/>
  <c r="A119" i="1" l="1"/>
  <c r="D118" i="1"/>
  <c r="H118" i="1" s="1"/>
  <c r="I118" i="1" s="1"/>
  <c r="B67" i="1"/>
  <c r="C67" i="1" s="1"/>
  <c r="E67" i="1" s="1"/>
  <c r="A120" i="1" l="1"/>
  <c r="D119" i="1"/>
  <c r="H119" i="1" s="1"/>
  <c r="I119" i="1" s="1"/>
  <c r="F67" i="1"/>
  <c r="A121" i="1" l="1"/>
  <c r="D120" i="1"/>
  <c r="H120" i="1" s="1"/>
  <c r="I120" i="1" s="1"/>
  <c r="B68" i="1"/>
  <c r="C68" i="1" s="1"/>
  <c r="E68" i="1" s="1"/>
  <c r="A122" i="1" l="1"/>
  <c r="D121" i="1"/>
  <c r="H121" i="1" s="1"/>
  <c r="I121" i="1" s="1"/>
  <c r="F68" i="1"/>
  <c r="A123" i="1" l="1"/>
  <c r="D122" i="1"/>
  <c r="H122" i="1" s="1"/>
  <c r="I122" i="1" s="1"/>
  <c r="B69" i="1"/>
  <c r="C69" i="1" s="1"/>
  <c r="E69" i="1" s="1"/>
  <c r="A124" i="1" l="1"/>
  <c r="D123" i="1"/>
  <c r="H123" i="1" s="1"/>
  <c r="I123" i="1" s="1"/>
  <c r="F69" i="1"/>
  <c r="A125" i="1" l="1"/>
  <c r="D124" i="1"/>
  <c r="H124" i="1" s="1"/>
  <c r="I124" i="1" s="1"/>
  <c r="B70" i="1"/>
  <c r="C70" i="1" s="1"/>
  <c r="E70" i="1" s="1"/>
  <c r="A126" i="1" l="1"/>
  <c r="D125" i="1"/>
  <c r="H125" i="1" s="1"/>
  <c r="I125" i="1" s="1"/>
  <c r="F70" i="1"/>
  <c r="A127" i="1" l="1"/>
  <c r="D126" i="1"/>
  <c r="H126" i="1" s="1"/>
  <c r="I126" i="1" s="1"/>
  <c r="B71" i="1"/>
  <c r="C71" i="1" s="1"/>
  <c r="E71" i="1" s="1"/>
  <c r="A128" i="1" l="1"/>
  <c r="D127" i="1"/>
  <c r="H127" i="1" s="1"/>
  <c r="I127" i="1" s="1"/>
  <c r="F71" i="1"/>
  <c r="A129" i="1" l="1"/>
  <c r="D128" i="1"/>
  <c r="H128" i="1" s="1"/>
  <c r="I128" i="1" s="1"/>
  <c r="B72" i="1"/>
  <c r="C72" i="1" s="1"/>
  <c r="E72" i="1" s="1"/>
  <c r="A130" i="1" l="1"/>
  <c r="D129" i="1"/>
  <c r="H129" i="1" s="1"/>
  <c r="I129" i="1" s="1"/>
  <c r="F72" i="1"/>
  <c r="A131" i="1" l="1"/>
  <c r="D130" i="1"/>
  <c r="H130" i="1" s="1"/>
  <c r="I130" i="1" s="1"/>
  <c r="B73" i="1"/>
  <c r="C73" i="1" s="1"/>
  <c r="E73" i="1" s="1"/>
  <c r="A132" i="1" l="1"/>
  <c r="D131" i="1"/>
  <c r="H131" i="1" s="1"/>
  <c r="I131" i="1" s="1"/>
  <c r="F73" i="1"/>
  <c r="A133" i="1" l="1"/>
  <c r="D132" i="1"/>
  <c r="H132" i="1" s="1"/>
  <c r="I132" i="1" s="1"/>
  <c r="B74" i="1"/>
  <c r="C74" i="1" s="1"/>
  <c r="E74" i="1" s="1"/>
  <c r="A134" i="1" l="1"/>
  <c r="D133" i="1"/>
  <c r="H133" i="1" s="1"/>
  <c r="I133" i="1" s="1"/>
  <c r="F74" i="1"/>
  <c r="A135" i="1" l="1"/>
  <c r="D134" i="1"/>
  <c r="H134" i="1" s="1"/>
  <c r="I134" i="1" s="1"/>
  <c r="B75" i="1"/>
  <c r="C75" i="1" s="1"/>
  <c r="E75" i="1" s="1"/>
  <c r="A136" i="1" l="1"/>
  <c r="D135" i="1"/>
  <c r="H135" i="1" s="1"/>
  <c r="I135" i="1" s="1"/>
  <c r="F75" i="1"/>
  <c r="A137" i="1" l="1"/>
  <c r="D136" i="1"/>
  <c r="H136" i="1" s="1"/>
  <c r="I136" i="1" s="1"/>
  <c r="B76" i="1"/>
  <c r="C76" i="1" s="1"/>
  <c r="E76" i="1" s="1"/>
  <c r="A138" i="1" l="1"/>
  <c r="D137" i="1"/>
  <c r="H137" i="1" s="1"/>
  <c r="I137" i="1" s="1"/>
  <c r="F76" i="1"/>
  <c r="A139" i="1" l="1"/>
  <c r="D138" i="1"/>
  <c r="H138" i="1" s="1"/>
  <c r="I138" i="1" s="1"/>
  <c r="B77" i="1"/>
  <c r="C77" i="1" s="1"/>
  <c r="E77" i="1" s="1"/>
  <c r="A140" i="1" l="1"/>
  <c r="D139" i="1"/>
  <c r="H139" i="1" s="1"/>
  <c r="I139" i="1" s="1"/>
  <c r="F77" i="1"/>
  <c r="A141" i="1" l="1"/>
  <c r="D140" i="1"/>
  <c r="H140" i="1" s="1"/>
  <c r="I140" i="1" s="1"/>
  <c r="B78" i="1"/>
  <c r="C78" i="1" s="1"/>
  <c r="E78" i="1" s="1"/>
  <c r="A142" i="1" l="1"/>
  <c r="D141" i="1"/>
  <c r="H141" i="1" s="1"/>
  <c r="I141" i="1" s="1"/>
  <c r="F78" i="1"/>
  <c r="A143" i="1" l="1"/>
  <c r="D142" i="1"/>
  <c r="H142" i="1" s="1"/>
  <c r="I142" i="1" s="1"/>
  <c r="B79" i="1"/>
  <c r="C79" i="1" s="1"/>
  <c r="E79" i="1" s="1"/>
  <c r="A144" i="1" l="1"/>
  <c r="D143" i="1"/>
  <c r="H143" i="1" s="1"/>
  <c r="I143" i="1" s="1"/>
  <c r="F79" i="1"/>
  <c r="A145" i="1" l="1"/>
  <c r="D144" i="1"/>
  <c r="H144" i="1" s="1"/>
  <c r="I144" i="1" s="1"/>
  <c r="B80" i="1"/>
  <c r="C80" i="1" s="1"/>
  <c r="E80" i="1" s="1"/>
  <c r="A146" i="1" l="1"/>
  <c r="D145" i="1"/>
  <c r="H145" i="1" s="1"/>
  <c r="I145" i="1" s="1"/>
  <c r="F80" i="1"/>
  <c r="A147" i="1" l="1"/>
  <c r="D146" i="1"/>
  <c r="H146" i="1" s="1"/>
  <c r="I146" i="1" s="1"/>
  <c r="B81" i="1"/>
  <c r="C81" i="1" s="1"/>
  <c r="E81" i="1" s="1"/>
  <c r="A148" i="1" l="1"/>
  <c r="D147" i="1"/>
  <c r="H147" i="1" s="1"/>
  <c r="I147" i="1" s="1"/>
  <c r="F81" i="1"/>
  <c r="A149" i="1" l="1"/>
  <c r="D148" i="1"/>
  <c r="H148" i="1" s="1"/>
  <c r="I148" i="1" s="1"/>
  <c r="B82" i="1"/>
  <c r="C82" i="1" s="1"/>
  <c r="E82" i="1" s="1"/>
  <c r="A150" i="1" l="1"/>
  <c r="D149" i="1"/>
  <c r="H149" i="1" s="1"/>
  <c r="I149" i="1" s="1"/>
  <c r="F82" i="1"/>
  <c r="A151" i="1" l="1"/>
  <c r="D150" i="1"/>
  <c r="H150" i="1" s="1"/>
  <c r="I150" i="1" s="1"/>
  <c r="B83" i="1"/>
  <c r="C83" i="1" s="1"/>
  <c r="E83" i="1" s="1"/>
  <c r="A152" i="1" l="1"/>
  <c r="D151" i="1"/>
  <c r="H151" i="1" s="1"/>
  <c r="I151" i="1" s="1"/>
  <c r="F83" i="1"/>
  <c r="A153" i="1" l="1"/>
  <c r="D152" i="1"/>
  <c r="H152" i="1" s="1"/>
  <c r="I152" i="1" s="1"/>
  <c r="B84" i="1"/>
  <c r="C84" i="1" s="1"/>
  <c r="E84" i="1" s="1"/>
  <c r="A154" i="1" l="1"/>
  <c r="D153" i="1"/>
  <c r="H153" i="1" s="1"/>
  <c r="I153" i="1" s="1"/>
  <c r="F84" i="1"/>
  <c r="A155" i="1" l="1"/>
  <c r="D154" i="1"/>
  <c r="H154" i="1" s="1"/>
  <c r="I154" i="1" s="1"/>
  <c r="B85" i="1"/>
  <c r="C85" i="1" s="1"/>
  <c r="E85" i="1" s="1"/>
  <c r="A156" i="1" l="1"/>
  <c r="D155" i="1"/>
  <c r="H155" i="1" s="1"/>
  <c r="I155" i="1" s="1"/>
  <c r="F85" i="1"/>
  <c r="A157" i="1" l="1"/>
  <c r="D156" i="1"/>
  <c r="H156" i="1" s="1"/>
  <c r="I156" i="1" s="1"/>
  <c r="B86" i="1"/>
  <c r="C86" i="1" s="1"/>
  <c r="E86" i="1" s="1"/>
  <c r="A158" i="1" l="1"/>
  <c r="D157" i="1"/>
  <c r="H157" i="1" s="1"/>
  <c r="I157" i="1" s="1"/>
  <c r="F86" i="1"/>
  <c r="A159" i="1" l="1"/>
  <c r="D158" i="1"/>
  <c r="H158" i="1" s="1"/>
  <c r="I158" i="1" s="1"/>
  <c r="B87" i="1"/>
  <c r="C87" i="1" s="1"/>
  <c r="E87" i="1" s="1"/>
  <c r="A160" i="1" l="1"/>
  <c r="D159" i="1"/>
  <c r="H159" i="1" s="1"/>
  <c r="I159" i="1" s="1"/>
  <c r="F87" i="1"/>
  <c r="A161" i="1" l="1"/>
  <c r="D160" i="1"/>
  <c r="H160" i="1" s="1"/>
  <c r="I160" i="1" s="1"/>
  <c r="B88" i="1"/>
  <c r="C88" i="1" s="1"/>
  <c r="E88" i="1" s="1"/>
  <c r="A162" i="1" l="1"/>
  <c r="D161" i="1"/>
  <c r="H161" i="1" s="1"/>
  <c r="I161" i="1" s="1"/>
  <c r="F88" i="1"/>
  <c r="A163" i="1" l="1"/>
  <c r="D162" i="1"/>
  <c r="H162" i="1" s="1"/>
  <c r="I162" i="1" s="1"/>
  <c r="B89" i="1"/>
  <c r="C89" i="1" s="1"/>
  <c r="E89" i="1" s="1"/>
  <c r="A164" i="1" l="1"/>
  <c r="D163" i="1"/>
  <c r="H163" i="1" s="1"/>
  <c r="I163" i="1" s="1"/>
  <c r="F89" i="1"/>
  <c r="A165" i="1" l="1"/>
  <c r="D164" i="1"/>
  <c r="H164" i="1" s="1"/>
  <c r="I164" i="1" s="1"/>
  <c r="B90" i="1"/>
  <c r="C90" i="1" s="1"/>
  <c r="E90" i="1" s="1"/>
  <c r="A166" i="1" l="1"/>
  <c r="D165" i="1"/>
  <c r="H165" i="1" s="1"/>
  <c r="I165" i="1" s="1"/>
  <c r="F90" i="1"/>
  <c r="A167" i="1" l="1"/>
  <c r="D166" i="1"/>
  <c r="H166" i="1" s="1"/>
  <c r="I166" i="1" s="1"/>
  <c r="B91" i="1"/>
  <c r="C91" i="1" s="1"/>
  <c r="E91" i="1" s="1"/>
  <c r="A168" i="1" l="1"/>
  <c r="D167" i="1"/>
  <c r="H167" i="1" s="1"/>
  <c r="I167" i="1" s="1"/>
  <c r="F91" i="1"/>
  <c r="A169" i="1" l="1"/>
  <c r="D168" i="1"/>
  <c r="H168" i="1" s="1"/>
  <c r="I168" i="1" s="1"/>
  <c r="B92" i="1"/>
  <c r="C92" i="1" s="1"/>
  <c r="E92" i="1" s="1"/>
  <c r="A170" i="1" l="1"/>
  <c r="D169" i="1"/>
  <c r="H169" i="1" s="1"/>
  <c r="I169" i="1" s="1"/>
  <c r="F92" i="1"/>
  <c r="A171" i="1" l="1"/>
  <c r="D170" i="1"/>
  <c r="H170" i="1" s="1"/>
  <c r="I170" i="1" s="1"/>
  <c r="B93" i="1"/>
  <c r="C93" i="1" s="1"/>
  <c r="E93" i="1" s="1"/>
  <c r="A172" i="1" l="1"/>
  <c r="D171" i="1"/>
  <c r="H171" i="1" s="1"/>
  <c r="I171" i="1" s="1"/>
  <c r="F93" i="1"/>
  <c r="A173" i="1" l="1"/>
  <c r="D172" i="1"/>
  <c r="H172" i="1" s="1"/>
  <c r="I172" i="1" s="1"/>
  <c r="B94" i="1"/>
  <c r="C94" i="1" s="1"/>
  <c r="E94" i="1" s="1"/>
  <c r="A174" i="1" l="1"/>
  <c r="D173" i="1"/>
  <c r="H173" i="1" s="1"/>
  <c r="I173" i="1" s="1"/>
  <c r="F94" i="1"/>
  <c r="A175" i="1" l="1"/>
  <c r="D174" i="1"/>
  <c r="H174" i="1" s="1"/>
  <c r="I174" i="1" s="1"/>
  <c r="B95" i="1"/>
  <c r="C95" i="1" s="1"/>
  <c r="E95" i="1" s="1"/>
  <c r="A176" i="1" l="1"/>
  <c r="D175" i="1"/>
  <c r="H175" i="1" s="1"/>
  <c r="I175" i="1" s="1"/>
  <c r="F95" i="1"/>
  <c r="A177" i="1" l="1"/>
  <c r="D176" i="1"/>
  <c r="H176" i="1" s="1"/>
  <c r="I176" i="1" s="1"/>
  <c r="B96" i="1"/>
  <c r="C96" i="1" s="1"/>
  <c r="E96" i="1" s="1"/>
  <c r="A178" i="1" l="1"/>
  <c r="D177" i="1"/>
  <c r="H177" i="1" s="1"/>
  <c r="I177" i="1" s="1"/>
  <c r="F96" i="1"/>
  <c r="A179" i="1" l="1"/>
  <c r="D178" i="1"/>
  <c r="H178" i="1" s="1"/>
  <c r="I178" i="1" s="1"/>
  <c r="B97" i="1"/>
  <c r="C97" i="1" s="1"/>
  <c r="E97" i="1" s="1"/>
  <c r="A180" i="1" l="1"/>
  <c r="D179" i="1"/>
  <c r="H179" i="1" s="1"/>
  <c r="I179" i="1" s="1"/>
  <c r="F97" i="1"/>
  <c r="A181" i="1" l="1"/>
  <c r="D180" i="1"/>
  <c r="H180" i="1" s="1"/>
  <c r="I180" i="1" s="1"/>
  <c r="B98" i="1"/>
  <c r="C98" i="1" s="1"/>
  <c r="E98" i="1" s="1"/>
  <c r="A182" i="1" l="1"/>
  <c r="D181" i="1"/>
  <c r="H181" i="1" s="1"/>
  <c r="I181" i="1" s="1"/>
  <c r="F98" i="1"/>
  <c r="A183" i="1" l="1"/>
  <c r="D182" i="1"/>
  <c r="H182" i="1" s="1"/>
  <c r="I182" i="1" s="1"/>
  <c r="B99" i="1"/>
  <c r="C99" i="1" s="1"/>
  <c r="E99" i="1" s="1"/>
  <c r="A184" i="1" l="1"/>
  <c r="D183" i="1"/>
  <c r="H183" i="1" s="1"/>
  <c r="I183" i="1" s="1"/>
  <c r="F99" i="1"/>
  <c r="A185" i="1" l="1"/>
  <c r="D184" i="1"/>
  <c r="H184" i="1" s="1"/>
  <c r="I184" i="1" s="1"/>
  <c r="B100" i="1"/>
  <c r="C100" i="1" s="1"/>
  <c r="E100" i="1" s="1"/>
  <c r="A186" i="1" l="1"/>
  <c r="D185" i="1"/>
  <c r="H185" i="1" s="1"/>
  <c r="I185" i="1" s="1"/>
  <c r="F100" i="1"/>
  <c r="A187" i="1" l="1"/>
  <c r="D186" i="1"/>
  <c r="H186" i="1" s="1"/>
  <c r="I186" i="1" s="1"/>
  <c r="B101" i="1"/>
  <c r="C101" i="1" s="1"/>
  <c r="E101" i="1" s="1"/>
  <c r="A188" i="1" l="1"/>
  <c r="D187" i="1"/>
  <c r="H187" i="1" s="1"/>
  <c r="I187" i="1" s="1"/>
  <c r="F101" i="1"/>
  <c r="A189" i="1" l="1"/>
  <c r="D188" i="1"/>
  <c r="H188" i="1" s="1"/>
  <c r="I188" i="1" s="1"/>
  <c r="B102" i="1"/>
  <c r="C102" i="1" s="1"/>
  <c r="E102" i="1" s="1"/>
  <c r="A190" i="1" l="1"/>
  <c r="D189" i="1"/>
  <c r="H189" i="1" s="1"/>
  <c r="I189" i="1" s="1"/>
  <c r="F102" i="1"/>
  <c r="A191" i="1" l="1"/>
  <c r="D190" i="1"/>
  <c r="H190" i="1" s="1"/>
  <c r="I190" i="1" s="1"/>
  <c r="B103" i="1"/>
  <c r="C103" i="1" s="1"/>
  <c r="E103" i="1" s="1"/>
  <c r="A192" i="1" l="1"/>
  <c r="D191" i="1"/>
  <c r="H191" i="1" s="1"/>
  <c r="I191" i="1" s="1"/>
  <c r="F103" i="1"/>
  <c r="A193" i="1" l="1"/>
  <c r="D192" i="1"/>
  <c r="H192" i="1" s="1"/>
  <c r="I192" i="1" s="1"/>
  <c r="B104" i="1"/>
  <c r="C104" i="1" s="1"/>
  <c r="E104" i="1" s="1"/>
  <c r="A194" i="1" l="1"/>
  <c r="D193" i="1"/>
  <c r="H193" i="1" s="1"/>
  <c r="I193" i="1" s="1"/>
  <c r="F104" i="1"/>
  <c r="A195" i="1" l="1"/>
  <c r="D194" i="1"/>
  <c r="H194" i="1" s="1"/>
  <c r="I194" i="1" s="1"/>
  <c r="B105" i="1"/>
  <c r="C105" i="1" s="1"/>
  <c r="E105" i="1" s="1"/>
  <c r="A196" i="1" l="1"/>
  <c r="D195" i="1"/>
  <c r="H195" i="1" s="1"/>
  <c r="I195" i="1" s="1"/>
  <c r="F105" i="1"/>
  <c r="A197" i="1" l="1"/>
  <c r="D196" i="1"/>
  <c r="H196" i="1" s="1"/>
  <c r="I196" i="1" s="1"/>
  <c r="B106" i="1"/>
  <c r="C106" i="1" s="1"/>
  <c r="E106" i="1" s="1"/>
  <c r="A198" i="1" l="1"/>
  <c r="D197" i="1"/>
  <c r="H197" i="1" s="1"/>
  <c r="I197" i="1" s="1"/>
  <c r="F106" i="1"/>
  <c r="A199" i="1" l="1"/>
  <c r="D198" i="1"/>
  <c r="H198" i="1" s="1"/>
  <c r="I198" i="1" s="1"/>
  <c r="B107" i="1"/>
  <c r="C107" i="1" s="1"/>
  <c r="E107" i="1" s="1"/>
  <c r="A200" i="1" l="1"/>
  <c r="D199" i="1"/>
  <c r="H199" i="1" s="1"/>
  <c r="I199" i="1" s="1"/>
  <c r="F107" i="1"/>
  <c r="A201" i="1" l="1"/>
  <c r="D200" i="1"/>
  <c r="H200" i="1" s="1"/>
  <c r="I200" i="1" s="1"/>
  <c r="B108" i="1"/>
  <c r="C108" i="1" s="1"/>
  <c r="E108" i="1" s="1"/>
  <c r="A202" i="1" l="1"/>
  <c r="D201" i="1"/>
  <c r="H201" i="1" s="1"/>
  <c r="I201" i="1" s="1"/>
  <c r="F108" i="1"/>
  <c r="A203" i="1" l="1"/>
  <c r="D202" i="1"/>
  <c r="H202" i="1" s="1"/>
  <c r="I202" i="1" s="1"/>
  <c r="B109" i="1"/>
  <c r="C109" i="1" s="1"/>
  <c r="E109" i="1" s="1"/>
  <c r="A204" i="1" l="1"/>
  <c r="D203" i="1"/>
  <c r="H203" i="1" s="1"/>
  <c r="I203" i="1" s="1"/>
  <c r="F109" i="1"/>
  <c r="A205" i="1" l="1"/>
  <c r="D204" i="1"/>
  <c r="H204" i="1" s="1"/>
  <c r="I204" i="1" s="1"/>
  <c r="B110" i="1"/>
  <c r="C110" i="1" s="1"/>
  <c r="E110" i="1" s="1"/>
  <c r="A206" i="1" l="1"/>
  <c r="D205" i="1"/>
  <c r="H205" i="1" s="1"/>
  <c r="I205" i="1" s="1"/>
  <c r="F110" i="1"/>
  <c r="A207" i="1" l="1"/>
  <c r="D206" i="1"/>
  <c r="H206" i="1" s="1"/>
  <c r="I206" i="1" s="1"/>
  <c r="B111" i="1"/>
  <c r="C111" i="1" s="1"/>
  <c r="E111" i="1" s="1"/>
  <c r="A208" i="1" l="1"/>
  <c r="D207" i="1"/>
  <c r="H207" i="1" s="1"/>
  <c r="I207" i="1" s="1"/>
  <c r="F111" i="1"/>
  <c r="A209" i="1" l="1"/>
  <c r="D208" i="1"/>
  <c r="H208" i="1" s="1"/>
  <c r="I208" i="1" s="1"/>
  <c r="B112" i="1"/>
  <c r="C112" i="1" s="1"/>
  <c r="E112" i="1" s="1"/>
  <c r="A210" i="1" l="1"/>
  <c r="D209" i="1"/>
  <c r="H209" i="1" s="1"/>
  <c r="I209" i="1" s="1"/>
  <c r="F112" i="1"/>
  <c r="A211" i="1" l="1"/>
  <c r="D210" i="1"/>
  <c r="H210" i="1" s="1"/>
  <c r="I210" i="1" s="1"/>
  <c r="B113" i="1"/>
  <c r="C113" i="1" s="1"/>
  <c r="E113" i="1" s="1"/>
  <c r="A212" i="1" l="1"/>
  <c r="D211" i="1"/>
  <c r="H211" i="1" s="1"/>
  <c r="I211" i="1" s="1"/>
  <c r="F113" i="1"/>
  <c r="A213" i="1" l="1"/>
  <c r="D212" i="1"/>
  <c r="H212" i="1" s="1"/>
  <c r="I212" i="1" s="1"/>
  <c r="B114" i="1"/>
  <c r="C114" i="1" s="1"/>
  <c r="E114" i="1" s="1"/>
  <c r="A214" i="1" l="1"/>
  <c r="D213" i="1"/>
  <c r="H213" i="1" s="1"/>
  <c r="I213" i="1" s="1"/>
  <c r="F114" i="1"/>
  <c r="A215" i="1" l="1"/>
  <c r="D214" i="1"/>
  <c r="H214" i="1" s="1"/>
  <c r="I214" i="1" s="1"/>
  <c r="B115" i="1"/>
  <c r="C115" i="1" s="1"/>
  <c r="E115" i="1" s="1"/>
  <c r="A216" i="1" l="1"/>
  <c r="D215" i="1"/>
  <c r="H215" i="1" s="1"/>
  <c r="I215" i="1" s="1"/>
  <c r="F115" i="1"/>
  <c r="A217" i="1" l="1"/>
  <c r="D216" i="1"/>
  <c r="H216" i="1" s="1"/>
  <c r="I216" i="1" s="1"/>
  <c r="B116" i="1"/>
  <c r="C116" i="1" s="1"/>
  <c r="E116" i="1" s="1"/>
  <c r="A218" i="1" l="1"/>
  <c r="D217" i="1"/>
  <c r="H217" i="1" s="1"/>
  <c r="I217" i="1" s="1"/>
  <c r="F116" i="1"/>
  <c r="A219" i="1" l="1"/>
  <c r="D218" i="1"/>
  <c r="H218" i="1" s="1"/>
  <c r="I218" i="1" s="1"/>
  <c r="B117" i="1"/>
  <c r="C117" i="1" s="1"/>
  <c r="E117" i="1" s="1"/>
  <c r="A220" i="1" l="1"/>
  <c r="D219" i="1"/>
  <c r="H219" i="1" s="1"/>
  <c r="I219" i="1" s="1"/>
  <c r="F117" i="1"/>
  <c r="A221" i="1" l="1"/>
  <c r="D220" i="1"/>
  <c r="H220" i="1" s="1"/>
  <c r="I220" i="1" s="1"/>
  <c r="B118" i="1"/>
  <c r="C118" i="1" s="1"/>
  <c r="E118" i="1" s="1"/>
  <c r="A222" i="1" l="1"/>
  <c r="D221" i="1"/>
  <c r="H221" i="1" s="1"/>
  <c r="I221" i="1" s="1"/>
  <c r="F118" i="1"/>
  <c r="A223" i="1" l="1"/>
  <c r="D222" i="1"/>
  <c r="H222" i="1" s="1"/>
  <c r="I222" i="1" s="1"/>
  <c r="B119" i="1"/>
  <c r="C119" i="1" s="1"/>
  <c r="E119" i="1" s="1"/>
  <c r="A224" i="1" l="1"/>
  <c r="D223" i="1"/>
  <c r="H223" i="1" s="1"/>
  <c r="I223" i="1" s="1"/>
  <c r="F119" i="1"/>
  <c r="A225" i="1" l="1"/>
  <c r="D224" i="1"/>
  <c r="H224" i="1" s="1"/>
  <c r="I224" i="1" s="1"/>
  <c r="B120" i="1"/>
  <c r="C120" i="1" s="1"/>
  <c r="E120" i="1" s="1"/>
  <c r="A226" i="1" l="1"/>
  <c r="D225" i="1"/>
  <c r="H225" i="1" s="1"/>
  <c r="I225" i="1" s="1"/>
  <c r="F120" i="1"/>
  <c r="A227" i="1" l="1"/>
  <c r="D226" i="1"/>
  <c r="H226" i="1" s="1"/>
  <c r="I226" i="1" s="1"/>
  <c r="B121" i="1"/>
  <c r="C121" i="1" s="1"/>
  <c r="E121" i="1" s="1"/>
  <c r="A228" i="1" l="1"/>
  <c r="D227" i="1"/>
  <c r="H227" i="1" s="1"/>
  <c r="I227" i="1" s="1"/>
  <c r="F121" i="1"/>
  <c r="A229" i="1" l="1"/>
  <c r="D228" i="1"/>
  <c r="H228" i="1" s="1"/>
  <c r="I228" i="1" s="1"/>
  <c r="B122" i="1"/>
  <c r="C122" i="1" s="1"/>
  <c r="E122" i="1" s="1"/>
  <c r="A230" i="1" l="1"/>
  <c r="D229" i="1"/>
  <c r="H229" i="1" s="1"/>
  <c r="I229" i="1" s="1"/>
  <c r="F122" i="1"/>
  <c r="A231" i="1" l="1"/>
  <c r="D230" i="1"/>
  <c r="H230" i="1" s="1"/>
  <c r="I230" i="1" s="1"/>
  <c r="B123" i="1"/>
  <c r="C123" i="1" s="1"/>
  <c r="E123" i="1" s="1"/>
  <c r="A232" i="1" l="1"/>
  <c r="D231" i="1"/>
  <c r="H231" i="1" s="1"/>
  <c r="I231" i="1" s="1"/>
  <c r="F123" i="1"/>
  <c r="A233" i="1" l="1"/>
  <c r="D232" i="1"/>
  <c r="H232" i="1" s="1"/>
  <c r="I232" i="1" s="1"/>
  <c r="B124" i="1"/>
  <c r="C124" i="1" s="1"/>
  <c r="E124" i="1" s="1"/>
  <c r="A234" i="1" l="1"/>
  <c r="D233" i="1"/>
  <c r="H233" i="1" s="1"/>
  <c r="I233" i="1" s="1"/>
  <c r="F124" i="1"/>
  <c r="A235" i="1" l="1"/>
  <c r="D234" i="1"/>
  <c r="H234" i="1" s="1"/>
  <c r="I234" i="1" s="1"/>
  <c r="B125" i="1"/>
  <c r="C125" i="1" s="1"/>
  <c r="E125" i="1" s="1"/>
  <c r="A236" i="1" l="1"/>
  <c r="D235" i="1"/>
  <c r="H235" i="1" s="1"/>
  <c r="I235" i="1" s="1"/>
  <c r="F125" i="1"/>
  <c r="A237" i="1" l="1"/>
  <c r="D236" i="1"/>
  <c r="H236" i="1" s="1"/>
  <c r="I236" i="1" s="1"/>
  <c r="B126" i="1"/>
  <c r="C126" i="1" s="1"/>
  <c r="E126" i="1" s="1"/>
  <c r="A238" i="1" l="1"/>
  <c r="D237" i="1"/>
  <c r="H237" i="1" s="1"/>
  <c r="I237" i="1" s="1"/>
  <c r="F126" i="1"/>
  <c r="A239" i="1" l="1"/>
  <c r="D238" i="1"/>
  <c r="H238" i="1" s="1"/>
  <c r="I238" i="1" s="1"/>
  <c r="B127" i="1"/>
  <c r="C127" i="1" s="1"/>
  <c r="E127" i="1" s="1"/>
  <c r="A240" i="1" l="1"/>
  <c r="D239" i="1"/>
  <c r="H239" i="1" s="1"/>
  <c r="I239" i="1" s="1"/>
  <c r="F127" i="1"/>
  <c r="A241" i="1" l="1"/>
  <c r="D240" i="1"/>
  <c r="H240" i="1" s="1"/>
  <c r="I240" i="1" s="1"/>
  <c r="B128" i="1"/>
  <c r="C128" i="1" s="1"/>
  <c r="E128" i="1" s="1"/>
  <c r="A242" i="1" l="1"/>
  <c r="D241" i="1"/>
  <c r="H241" i="1" s="1"/>
  <c r="I241" i="1" s="1"/>
  <c r="F128" i="1"/>
  <c r="A243" i="1" l="1"/>
  <c r="D242" i="1"/>
  <c r="H242" i="1" s="1"/>
  <c r="I242" i="1" s="1"/>
  <c r="B129" i="1"/>
  <c r="C129" i="1" s="1"/>
  <c r="E129" i="1" s="1"/>
  <c r="A244" i="1" l="1"/>
  <c r="D243" i="1"/>
  <c r="H243" i="1" s="1"/>
  <c r="I243" i="1" s="1"/>
  <c r="F129" i="1"/>
  <c r="A245" i="1" l="1"/>
  <c r="D244" i="1"/>
  <c r="H244" i="1" s="1"/>
  <c r="I244" i="1" s="1"/>
  <c r="B130" i="1"/>
  <c r="C130" i="1" s="1"/>
  <c r="E130" i="1" s="1"/>
  <c r="A246" i="1" l="1"/>
  <c r="D245" i="1"/>
  <c r="H245" i="1" s="1"/>
  <c r="I245" i="1" s="1"/>
  <c r="F130" i="1"/>
  <c r="A247" i="1" l="1"/>
  <c r="D246" i="1"/>
  <c r="H246" i="1" s="1"/>
  <c r="I246" i="1" s="1"/>
  <c r="B131" i="1"/>
  <c r="C131" i="1" s="1"/>
  <c r="E131" i="1" s="1"/>
  <c r="A248" i="1" l="1"/>
  <c r="D247" i="1"/>
  <c r="H247" i="1" s="1"/>
  <c r="I247" i="1" s="1"/>
  <c r="F131" i="1"/>
  <c r="A249" i="1" l="1"/>
  <c r="D248" i="1"/>
  <c r="H248" i="1" s="1"/>
  <c r="I248" i="1" s="1"/>
  <c r="B132" i="1"/>
  <c r="C132" i="1" s="1"/>
  <c r="E132" i="1" s="1"/>
  <c r="A250" i="1" l="1"/>
  <c r="D249" i="1"/>
  <c r="H249" i="1" s="1"/>
  <c r="I249" i="1" s="1"/>
  <c r="F132" i="1"/>
  <c r="A251" i="1" l="1"/>
  <c r="D250" i="1"/>
  <c r="H250" i="1" s="1"/>
  <c r="I250" i="1" s="1"/>
  <c r="B133" i="1"/>
  <c r="C133" i="1" s="1"/>
  <c r="E133" i="1" s="1"/>
  <c r="A252" i="1" l="1"/>
  <c r="D251" i="1"/>
  <c r="H251" i="1" s="1"/>
  <c r="I251" i="1" s="1"/>
  <c r="F133" i="1"/>
  <c r="A253" i="1" l="1"/>
  <c r="D252" i="1"/>
  <c r="H252" i="1" s="1"/>
  <c r="I252" i="1" s="1"/>
  <c r="B134" i="1"/>
  <c r="C134" i="1" s="1"/>
  <c r="E134" i="1" s="1"/>
  <c r="A254" i="1" l="1"/>
  <c r="D253" i="1"/>
  <c r="H253" i="1" s="1"/>
  <c r="I253" i="1" s="1"/>
  <c r="F134" i="1"/>
  <c r="A255" i="1" l="1"/>
  <c r="D254" i="1"/>
  <c r="H254" i="1" s="1"/>
  <c r="I254" i="1" s="1"/>
  <c r="B135" i="1"/>
  <c r="C135" i="1" s="1"/>
  <c r="E135" i="1" s="1"/>
  <c r="A256" i="1" l="1"/>
  <c r="D255" i="1"/>
  <c r="H255" i="1" s="1"/>
  <c r="I255" i="1" s="1"/>
  <c r="F135" i="1"/>
  <c r="A257" i="1" l="1"/>
  <c r="D256" i="1"/>
  <c r="H256" i="1" s="1"/>
  <c r="I256" i="1" s="1"/>
  <c r="B136" i="1"/>
  <c r="C136" i="1" s="1"/>
  <c r="E136" i="1" s="1"/>
  <c r="A258" i="1" l="1"/>
  <c r="D257" i="1"/>
  <c r="H257" i="1" s="1"/>
  <c r="I257" i="1" s="1"/>
  <c r="F136" i="1"/>
  <c r="A259" i="1" l="1"/>
  <c r="D258" i="1"/>
  <c r="H258" i="1" s="1"/>
  <c r="I258" i="1" s="1"/>
  <c r="B137" i="1"/>
  <c r="C137" i="1" s="1"/>
  <c r="E137" i="1" s="1"/>
  <c r="A260" i="1" l="1"/>
  <c r="D259" i="1"/>
  <c r="H259" i="1" s="1"/>
  <c r="I259" i="1" s="1"/>
  <c r="F137" i="1"/>
  <c r="A261" i="1" l="1"/>
  <c r="D260" i="1"/>
  <c r="H260" i="1" s="1"/>
  <c r="I260" i="1" s="1"/>
  <c r="B138" i="1"/>
  <c r="C138" i="1" s="1"/>
  <c r="E138" i="1" s="1"/>
  <c r="A262" i="1" l="1"/>
  <c r="D261" i="1"/>
  <c r="H261" i="1" s="1"/>
  <c r="I261" i="1" s="1"/>
  <c r="F138" i="1"/>
  <c r="A263" i="1" l="1"/>
  <c r="D262" i="1"/>
  <c r="H262" i="1" s="1"/>
  <c r="I262" i="1" s="1"/>
  <c r="B139" i="1"/>
  <c r="C139" i="1" s="1"/>
  <c r="E139" i="1" s="1"/>
  <c r="A264" i="1" l="1"/>
  <c r="D263" i="1"/>
  <c r="H263" i="1" s="1"/>
  <c r="I263" i="1" s="1"/>
  <c r="F139" i="1"/>
  <c r="A265" i="1" l="1"/>
  <c r="D264" i="1"/>
  <c r="H264" i="1" s="1"/>
  <c r="I264" i="1" s="1"/>
  <c r="B140" i="1"/>
  <c r="C140" i="1" s="1"/>
  <c r="E140" i="1" s="1"/>
  <c r="A266" i="1" l="1"/>
  <c r="D265" i="1"/>
  <c r="H265" i="1" s="1"/>
  <c r="I265" i="1" s="1"/>
  <c r="F140" i="1"/>
  <c r="A267" i="1" l="1"/>
  <c r="D266" i="1"/>
  <c r="H266" i="1" s="1"/>
  <c r="I266" i="1" s="1"/>
  <c r="B141" i="1"/>
  <c r="C141" i="1" s="1"/>
  <c r="E141" i="1" s="1"/>
  <c r="A268" i="1" l="1"/>
  <c r="D267" i="1"/>
  <c r="H267" i="1" s="1"/>
  <c r="I267" i="1" s="1"/>
  <c r="F141" i="1"/>
  <c r="A269" i="1" l="1"/>
  <c r="D268" i="1"/>
  <c r="H268" i="1" s="1"/>
  <c r="I268" i="1" s="1"/>
  <c r="B142" i="1"/>
  <c r="C142" i="1" s="1"/>
  <c r="E142" i="1" s="1"/>
  <c r="A270" i="1" l="1"/>
  <c r="D269" i="1"/>
  <c r="H269" i="1" s="1"/>
  <c r="I269" i="1" s="1"/>
  <c r="F142" i="1"/>
  <c r="A271" i="1" l="1"/>
  <c r="D270" i="1"/>
  <c r="H270" i="1" s="1"/>
  <c r="I270" i="1" s="1"/>
  <c r="B143" i="1"/>
  <c r="C143" i="1" s="1"/>
  <c r="E143" i="1" s="1"/>
  <c r="A272" i="1" l="1"/>
  <c r="D271" i="1"/>
  <c r="H271" i="1" s="1"/>
  <c r="I271" i="1" s="1"/>
  <c r="F143" i="1"/>
  <c r="A273" i="1" l="1"/>
  <c r="D272" i="1"/>
  <c r="H272" i="1" s="1"/>
  <c r="I272" i="1" s="1"/>
  <c r="B144" i="1"/>
  <c r="C144" i="1" s="1"/>
  <c r="E144" i="1" s="1"/>
  <c r="A274" i="1" l="1"/>
  <c r="D273" i="1"/>
  <c r="H273" i="1" s="1"/>
  <c r="I273" i="1" s="1"/>
  <c r="F144" i="1"/>
  <c r="A275" i="1" l="1"/>
  <c r="D274" i="1"/>
  <c r="H274" i="1" s="1"/>
  <c r="I274" i="1" s="1"/>
  <c r="B145" i="1"/>
  <c r="C145" i="1" s="1"/>
  <c r="E145" i="1" s="1"/>
  <c r="A276" i="1" l="1"/>
  <c r="D275" i="1"/>
  <c r="H275" i="1" s="1"/>
  <c r="I275" i="1" s="1"/>
  <c r="F145" i="1"/>
  <c r="A277" i="1" l="1"/>
  <c r="D276" i="1"/>
  <c r="H276" i="1" s="1"/>
  <c r="I276" i="1" s="1"/>
  <c r="B146" i="1"/>
  <c r="C146" i="1" s="1"/>
  <c r="E146" i="1" s="1"/>
  <c r="A278" i="1" l="1"/>
  <c r="D277" i="1"/>
  <c r="H277" i="1" s="1"/>
  <c r="I277" i="1" s="1"/>
  <c r="F146" i="1"/>
  <c r="A279" i="1" l="1"/>
  <c r="D278" i="1"/>
  <c r="H278" i="1" s="1"/>
  <c r="I278" i="1" s="1"/>
  <c r="B147" i="1"/>
  <c r="C147" i="1" s="1"/>
  <c r="E147" i="1" s="1"/>
  <c r="A280" i="1" l="1"/>
  <c r="D279" i="1"/>
  <c r="H279" i="1" s="1"/>
  <c r="I279" i="1" s="1"/>
  <c r="F147" i="1"/>
  <c r="A281" i="1" l="1"/>
  <c r="D280" i="1"/>
  <c r="H280" i="1" s="1"/>
  <c r="I280" i="1" s="1"/>
  <c r="B148" i="1"/>
  <c r="C148" i="1" s="1"/>
  <c r="E148" i="1" s="1"/>
  <c r="A282" i="1" l="1"/>
  <c r="D281" i="1"/>
  <c r="H281" i="1" s="1"/>
  <c r="I281" i="1" s="1"/>
  <c r="F148" i="1"/>
  <c r="A283" i="1" l="1"/>
  <c r="D282" i="1"/>
  <c r="H282" i="1" s="1"/>
  <c r="I282" i="1" s="1"/>
  <c r="B149" i="1"/>
  <c r="C149" i="1" s="1"/>
  <c r="E149" i="1" s="1"/>
  <c r="A284" i="1" l="1"/>
  <c r="D283" i="1"/>
  <c r="H283" i="1" s="1"/>
  <c r="I283" i="1" s="1"/>
  <c r="F149" i="1"/>
  <c r="A285" i="1" l="1"/>
  <c r="D284" i="1"/>
  <c r="H284" i="1" s="1"/>
  <c r="I284" i="1" s="1"/>
  <c r="B150" i="1"/>
  <c r="C150" i="1" s="1"/>
  <c r="A286" i="1" l="1"/>
  <c r="D285" i="1"/>
  <c r="H285" i="1" s="1"/>
  <c r="I285" i="1" s="1"/>
  <c r="E150" i="1"/>
  <c r="F150" i="1"/>
  <c r="A287" i="1" l="1"/>
  <c r="D286" i="1"/>
  <c r="H286" i="1" s="1"/>
  <c r="I286" i="1" s="1"/>
  <c r="B151" i="1"/>
  <c r="C151" i="1" s="1"/>
  <c r="A288" i="1" l="1"/>
  <c r="D287" i="1"/>
  <c r="H287" i="1" s="1"/>
  <c r="I287" i="1" s="1"/>
  <c r="E151" i="1"/>
  <c r="F151" i="1"/>
  <c r="A289" i="1" l="1"/>
  <c r="D288" i="1"/>
  <c r="H288" i="1" s="1"/>
  <c r="I288" i="1" s="1"/>
  <c r="B152" i="1"/>
  <c r="C152" i="1" s="1"/>
  <c r="A290" i="1" l="1"/>
  <c r="D289" i="1"/>
  <c r="H289" i="1" s="1"/>
  <c r="I289" i="1" s="1"/>
  <c r="E152" i="1"/>
  <c r="F152" i="1"/>
  <c r="A291" i="1" l="1"/>
  <c r="D290" i="1"/>
  <c r="H290" i="1" s="1"/>
  <c r="I290" i="1" s="1"/>
  <c r="B153" i="1"/>
  <c r="C153" i="1" s="1"/>
  <c r="A292" i="1" l="1"/>
  <c r="D291" i="1"/>
  <c r="H291" i="1" s="1"/>
  <c r="I291" i="1" s="1"/>
  <c r="E153" i="1"/>
  <c r="F153" i="1"/>
  <c r="A293" i="1" l="1"/>
  <c r="D292" i="1"/>
  <c r="H292" i="1" s="1"/>
  <c r="I292" i="1" s="1"/>
  <c r="B154" i="1"/>
  <c r="C154" i="1" s="1"/>
  <c r="A294" i="1" l="1"/>
  <c r="D293" i="1"/>
  <c r="H293" i="1" s="1"/>
  <c r="I293" i="1" s="1"/>
  <c r="E154" i="1"/>
  <c r="F154" i="1"/>
  <c r="A295" i="1" l="1"/>
  <c r="D294" i="1"/>
  <c r="H294" i="1" s="1"/>
  <c r="I294" i="1" s="1"/>
  <c r="B155" i="1"/>
  <c r="C155" i="1" s="1"/>
  <c r="A296" i="1" l="1"/>
  <c r="D295" i="1"/>
  <c r="H295" i="1" s="1"/>
  <c r="I295" i="1" s="1"/>
  <c r="E155" i="1"/>
  <c r="F155" i="1"/>
  <c r="A297" i="1" l="1"/>
  <c r="D296" i="1"/>
  <c r="H296" i="1" s="1"/>
  <c r="I296" i="1" s="1"/>
  <c r="B156" i="1"/>
  <c r="C156" i="1" s="1"/>
  <c r="A298" i="1" l="1"/>
  <c r="D297" i="1"/>
  <c r="H297" i="1" s="1"/>
  <c r="I297" i="1" s="1"/>
  <c r="E156" i="1"/>
  <c r="F156" i="1"/>
  <c r="A299" i="1" l="1"/>
  <c r="D298" i="1"/>
  <c r="H298" i="1" s="1"/>
  <c r="I298" i="1" s="1"/>
  <c r="B157" i="1"/>
  <c r="C157" i="1" s="1"/>
  <c r="A300" i="1" l="1"/>
  <c r="D299" i="1"/>
  <c r="H299" i="1" s="1"/>
  <c r="I299" i="1" s="1"/>
  <c r="E157" i="1"/>
  <c r="F157" i="1"/>
  <c r="A301" i="1" l="1"/>
  <c r="D300" i="1"/>
  <c r="H300" i="1" s="1"/>
  <c r="I300" i="1" s="1"/>
  <c r="B158" i="1"/>
  <c r="C158" i="1" s="1"/>
  <c r="A302" i="1" l="1"/>
  <c r="D301" i="1"/>
  <c r="H301" i="1" s="1"/>
  <c r="I301" i="1" s="1"/>
  <c r="E158" i="1"/>
  <c r="F158" i="1"/>
  <c r="A303" i="1" l="1"/>
  <c r="D302" i="1"/>
  <c r="H302" i="1" s="1"/>
  <c r="I302" i="1" s="1"/>
  <c r="B159" i="1"/>
  <c r="C159" i="1" s="1"/>
  <c r="A304" i="1" l="1"/>
  <c r="D303" i="1"/>
  <c r="H303" i="1" s="1"/>
  <c r="I303" i="1" s="1"/>
  <c r="E159" i="1"/>
  <c r="F159" i="1"/>
  <c r="A305" i="1" l="1"/>
  <c r="D304" i="1"/>
  <c r="H304" i="1" s="1"/>
  <c r="I304" i="1" s="1"/>
  <c r="B160" i="1"/>
  <c r="C160" i="1" s="1"/>
  <c r="A306" i="1" l="1"/>
  <c r="D305" i="1"/>
  <c r="H305" i="1" s="1"/>
  <c r="I305" i="1" s="1"/>
  <c r="E160" i="1"/>
  <c r="F160" i="1"/>
  <c r="A307" i="1" l="1"/>
  <c r="D306" i="1"/>
  <c r="H306" i="1" s="1"/>
  <c r="I306" i="1" s="1"/>
  <c r="B161" i="1"/>
  <c r="C161" i="1" s="1"/>
  <c r="A308" i="1" l="1"/>
  <c r="D307" i="1"/>
  <c r="H307" i="1" s="1"/>
  <c r="I307" i="1" s="1"/>
  <c r="E161" i="1"/>
  <c r="F161" i="1"/>
  <c r="A309" i="1" l="1"/>
  <c r="D308" i="1"/>
  <c r="H308" i="1" s="1"/>
  <c r="I308" i="1" s="1"/>
  <c r="B162" i="1"/>
  <c r="C162" i="1" s="1"/>
  <c r="A310" i="1" l="1"/>
  <c r="D309" i="1"/>
  <c r="H309" i="1" s="1"/>
  <c r="I309" i="1" s="1"/>
  <c r="E162" i="1"/>
  <c r="F162" i="1"/>
  <c r="A311" i="1" l="1"/>
  <c r="D310" i="1"/>
  <c r="H310" i="1" s="1"/>
  <c r="I310" i="1" s="1"/>
  <c r="B163" i="1"/>
  <c r="C163" i="1" s="1"/>
  <c r="A312" i="1" l="1"/>
  <c r="D311" i="1"/>
  <c r="H311" i="1" s="1"/>
  <c r="I311" i="1" s="1"/>
  <c r="E163" i="1"/>
  <c r="F163" i="1"/>
  <c r="A313" i="1" l="1"/>
  <c r="D312" i="1"/>
  <c r="H312" i="1" s="1"/>
  <c r="I312" i="1" s="1"/>
  <c r="B164" i="1"/>
  <c r="C164" i="1" s="1"/>
  <c r="A314" i="1" l="1"/>
  <c r="D313" i="1"/>
  <c r="H313" i="1" s="1"/>
  <c r="I313" i="1" s="1"/>
  <c r="E164" i="1"/>
  <c r="F164" i="1"/>
  <c r="A315" i="1" l="1"/>
  <c r="D314" i="1"/>
  <c r="H314" i="1" s="1"/>
  <c r="I314" i="1" s="1"/>
  <c r="B165" i="1"/>
  <c r="C165" i="1" s="1"/>
  <c r="A316" i="1" l="1"/>
  <c r="D315" i="1"/>
  <c r="H315" i="1" s="1"/>
  <c r="I315" i="1" s="1"/>
  <c r="E165" i="1"/>
  <c r="F165" i="1"/>
  <c r="A317" i="1" l="1"/>
  <c r="D316" i="1"/>
  <c r="H316" i="1" s="1"/>
  <c r="I316" i="1" s="1"/>
  <c r="B166" i="1"/>
  <c r="C166" i="1" s="1"/>
  <c r="A318" i="1" l="1"/>
  <c r="D317" i="1"/>
  <c r="H317" i="1" s="1"/>
  <c r="I317" i="1" s="1"/>
  <c r="E166" i="1"/>
  <c r="F166" i="1"/>
  <c r="A319" i="1" l="1"/>
  <c r="D318" i="1"/>
  <c r="H318" i="1" s="1"/>
  <c r="I318" i="1" s="1"/>
  <c r="B167" i="1"/>
  <c r="C167" i="1" s="1"/>
  <c r="A320" i="1" l="1"/>
  <c r="D319" i="1"/>
  <c r="H319" i="1" s="1"/>
  <c r="I319" i="1" s="1"/>
  <c r="E167" i="1"/>
  <c r="F167" i="1"/>
  <c r="A321" i="1" l="1"/>
  <c r="D320" i="1"/>
  <c r="H320" i="1" s="1"/>
  <c r="I320" i="1" s="1"/>
  <c r="B168" i="1"/>
  <c r="C168" i="1" s="1"/>
  <c r="A322" i="1" l="1"/>
  <c r="D321" i="1"/>
  <c r="H321" i="1" s="1"/>
  <c r="I321" i="1" s="1"/>
  <c r="E168" i="1"/>
  <c r="F168" i="1"/>
  <c r="A323" i="1" l="1"/>
  <c r="D322" i="1"/>
  <c r="H322" i="1" s="1"/>
  <c r="I322" i="1" s="1"/>
  <c r="B169" i="1"/>
  <c r="C169" i="1" s="1"/>
  <c r="A324" i="1" l="1"/>
  <c r="D323" i="1"/>
  <c r="H323" i="1" s="1"/>
  <c r="I323" i="1" s="1"/>
  <c r="E169" i="1"/>
  <c r="F169" i="1"/>
  <c r="A325" i="1" l="1"/>
  <c r="D324" i="1"/>
  <c r="H324" i="1" s="1"/>
  <c r="I324" i="1" s="1"/>
  <c r="B170" i="1"/>
  <c r="C170" i="1" s="1"/>
  <c r="A326" i="1" l="1"/>
  <c r="D325" i="1"/>
  <c r="H325" i="1" s="1"/>
  <c r="I325" i="1" s="1"/>
  <c r="E170" i="1"/>
  <c r="F170" i="1"/>
  <c r="A327" i="1" l="1"/>
  <c r="D326" i="1"/>
  <c r="H326" i="1" s="1"/>
  <c r="I326" i="1" s="1"/>
  <c r="B171" i="1"/>
  <c r="C171" i="1" s="1"/>
  <c r="A328" i="1" l="1"/>
  <c r="D327" i="1"/>
  <c r="H327" i="1" s="1"/>
  <c r="I327" i="1" s="1"/>
  <c r="E171" i="1"/>
  <c r="F171" i="1"/>
  <c r="A329" i="1" l="1"/>
  <c r="D328" i="1"/>
  <c r="H328" i="1" s="1"/>
  <c r="I328" i="1" s="1"/>
  <c r="B172" i="1"/>
  <c r="C172" i="1" s="1"/>
  <c r="A330" i="1" l="1"/>
  <c r="D329" i="1"/>
  <c r="H329" i="1" s="1"/>
  <c r="I329" i="1" s="1"/>
  <c r="E172" i="1"/>
  <c r="F172" i="1"/>
  <c r="A331" i="1" l="1"/>
  <c r="D330" i="1"/>
  <c r="H330" i="1" s="1"/>
  <c r="I330" i="1" s="1"/>
  <c r="B173" i="1"/>
  <c r="C173" i="1" s="1"/>
  <c r="A332" i="1" l="1"/>
  <c r="D331" i="1"/>
  <c r="H331" i="1" s="1"/>
  <c r="I331" i="1" s="1"/>
  <c r="E173" i="1"/>
  <c r="F173" i="1"/>
  <c r="A333" i="1" l="1"/>
  <c r="D332" i="1"/>
  <c r="H332" i="1" s="1"/>
  <c r="I332" i="1" s="1"/>
  <c r="B174" i="1"/>
  <c r="C174" i="1" s="1"/>
  <c r="A334" i="1" l="1"/>
  <c r="D333" i="1"/>
  <c r="H333" i="1" s="1"/>
  <c r="I333" i="1" s="1"/>
  <c r="E174" i="1"/>
  <c r="F174" i="1"/>
  <c r="A335" i="1" l="1"/>
  <c r="D334" i="1"/>
  <c r="H334" i="1" s="1"/>
  <c r="I334" i="1" s="1"/>
  <c r="B175" i="1"/>
  <c r="C175" i="1" s="1"/>
  <c r="A336" i="1" l="1"/>
  <c r="D335" i="1"/>
  <c r="H335" i="1" s="1"/>
  <c r="I335" i="1" s="1"/>
  <c r="E175" i="1"/>
  <c r="F175" i="1"/>
  <c r="A337" i="1" l="1"/>
  <c r="D336" i="1"/>
  <c r="H336" i="1" s="1"/>
  <c r="I336" i="1" s="1"/>
  <c r="B176" i="1"/>
  <c r="C176" i="1" s="1"/>
  <c r="A338" i="1" l="1"/>
  <c r="D337" i="1"/>
  <c r="H337" i="1" s="1"/>
  <c r="I337" i="1" s="1"/>
  <c r="E176" i="1"/>
  <c r="F176" i="1"/>
  <c r="A339" i="1" l="1"/>
  <c r="D338" i="1"/>
  <c r="H338" i="1" s="1"/>
  <c r="I338" i="1" s="1"/>
  <c r="B177" i="1"/>
  <c r="C177" i="1" s="1"/>
  <c r="A340" i="1" l="1"/>
  <c r="D339" i="1"/>
  <c r="H339" i="1" s="1"/>
  <c r="I339" i="1" s="1"/>
  <c r="E177" i="1"/>
  <c r="F177" i="1"/>
  <c r="A341" i="1" l="1"/>
  <c r="D340" i="1"/>
  <c r="H340" i="1" s="1"/>
  <c r="I340" i="1" s="1"/>
  <c r="B178" i="1"/>
  <c r="C178" i="1" s="1"/>
  <c r="A342" i="1" l="1"/>
  <c r="D341" i="1"/>
  <c r="H341" i="1" s="1"/>
  <c r="I341" i="1" s="1"/>
  <c r="E178" i="1"/>
  <c r="F178" i="1"/>
  <c r="A343" i="1" l="1"/>
  <c r="D342" i="1"/>
  <c r="H342" i="1" s="1"/>
  <c r="I342" i="1" s="1"/>
  <c r="B179" i="1"/>
  <c r="C179" i="1" s="1"/>
  <c r="A344" i="1" l="1"/>
  <c r="D343" i="1"/>
  <c r="H343" i="1" s="1"/>
  <c r="I343" i="1" s="1"/>
  <c r="E179" i="1"/>
  <c r="F179" i="1"/>
  <c r="A345" i="1" l="1"/>
  <c r="D344" i="1"/>
  <c r="H344" i="1" s="1"/>
  <c r="I344" i="1" s="1"/>
  <c r="B180" i="1"/>
  <c r="C180" i="1" s="1"/>
  <c r="A346" i="1" l="1"/>
  <c r="D345" i="1"/>
  <c r="H345" i="1" s="1"/>
  <c r="I345" i="1" s="1"/>
  <c r="E180" i="1"/>
  <c r="F180" i="1"/>
  <c r="A347" i="1" l="1"/>
  <c r="D346" i="1"/>
  <c r="H346" i="1" s="1"/>
  <c r="I346" i="1" s="1"/>
  <c r="B181" i="1"/>
  <c r="C181" i="1" s="1"/>
  <c r="A348" i="1" l="1"/>
  <c r="D347" i="1"/>
  <c r="H347" i="1" s="1"/>
  <c r="I347" i="1" s="1"/>
  <c r="E181" i="1"/>
  <c r="F181" i="1"/>
  <c r="A349" i="1" l="1"/>
  <c r="D348" i="1"/>
  <c r="H348" i="1" s="1"/>
  <c r="I348" i="1" s="1"/>
  <c r="B182" i="1"/>
  <c r="C182" i="1" s="1"/>
  <c r="A350" i="1" l="1"/>
  <c r="D349" i="1"/>
  <c r="H349" i="1" s="1"/>
  <c r="I349" i="1" s="1"/>
  <c r="E182" i="1"/>
  <c r="F182" i="1"/>
  <c r="A351" i="1" l="1"/>
  <c r="D350" i="1"/>
  <c r="H350" i="1" s="1"/>
  <c r="I350" i="1" s="1"/>
  <c r="B183" i="1"/>
  <c r="C183" i="1" s="1"/>
  <c r="A352" i="1" l="1"/>
  <c r="D351" i="1"/>
  <c r="H351" i="1" s="1"/>
  <c r="I351" i="1" s="1"/>
  <c r="E183" i="1"/>
  <c r="F183" i="1"/>
  <c r="A353" i="1" l="1"/>
  <c r="D352" i="1"/>
  <c r="H352" i="1" s="1"/>
  <c r="I352" i="1" s="1"/>
  <c r="B184" i="1"/>
  <c r="C184" i="1" s="1"/>
  <c r="A354" i="1" l="1"/>
  <c r="D353" i="1"/>
  <c r="H353" i="1" s="1"/>
  <c r="I353" i="1" s="1"/>
  <c r="E184" i="1"/>
  <c r="F184" i="1"/>
  <c r="A355" i="1" l="1"/>
  <c r="D354" i="1"/>
  <c r="H354" i="1" s="1"/>
  <c r="I354" i="1" s="1"/>
  <c r="B185" i="1"/>
  <c r="C185" i="1" s="1"/>
  <c r="A356" i="1" l="1"/>
  <c r="D355" i="1"/>
  <c r="H355" i="1" s="1"/>
  <c r="I355" i="1" s="1"/>
  <c r="E185" i="1"/>
  <c r="F185" i="1"/>
  <c r="A357" i="1" l="1"/>
  <c r="D356" i="1"/>
  <c r="H356" i="1" s="1"/>
  <c r="I356" i="1" s="1"/>
  <c r="B186" i="1"/>
  <c r="C186" i="1" s="1"/>
  <c r="A358" i="1" l="1"/>
  <c r="D357" i="1"/>
  <c r="H357" i="1" s="1"/>
  <c r="I357" i="1" s="1"/>
  <c r="E186" i="1"/>
  <c r="F186" i="1"/>
  <c r="A359" i="1" l="1"/>
  <c r="D358" i="1"/>
  <c r="H358" i="1" s="1"/>
  <c r="I358" i="1" s="1"/>
  <c r="B187" i="1"/>
  <c r="C187" i="1" s="1"/>
  <c r="A360" i="1" l="1"/>
  <c r="D359" i="1"/>
  <c r="H359" i="1" s="1"/>
  <c r="I359" i="1" s="1"/>
  <c r="E187" i="1"/>
  <c r="F187" i="1"/>
  <c r="A361" i="1" l="1"/>
  <c r="D360" i="1"/>
  <c r="H360" i="1" s="1"/>
  <c r="I360" i="1" s="1"/>
  <c r="B188" i="1"/>
  <c r="C188" i="1" s="1"/>
  <c r="A362" i="1" l="1"/>
  <c r="D361" i="1"/>
  <c r="H361" i="1" s="1"/>
  <c r="I361" i="1" s="1"/>
  <c r="E188" i="1"/>
  <c r="F188" i="1"/>
  <c r="A363" i="1" l="1"/>
  <c r="D362" i="1"/>
  <c r="H362" i="1" s="1"/>
  <c r="I362" i="1" s="1"/>
  <c r="B189" i="1"/>
  <c r="C189" i="1" s="1"/>
  <c r="A364" i="1" l="1"/>
  <c r="D363" i="1"/>
  <c r="H363" i="1" s="1"/>
  <c r="I363" i="1" s="1"/>
  <c r="E189" i="1"/>
  <c r="F189" i="1"/>
  <c r="A365" i="1" l="1"/>
  <c r="D364" i="1"/>
  <c r="H364" i="1" s="1"/>
  <c r="I364" i="1" s="1"/>
  <c r="B190" i="1"/>
  <c r="C190" i="1" s="1"/>
  <c r="A366" i="1" l="1"/>
  <c r="D365" i="1"/>
  <c r="H365" i="1" s="1"/>
  <c r="I365" i="1" s="1"/>
  <c r="E190" i="1"/>
  <c r="F190" i="1"/>
  <c r="A367" i="1" l="1"/>
  <c r="D366" i="1"/>
  <c r="H366" i="1" s="1"/>
  <c r="I366" i="1" s="1"/>
  <c r="B191" i="1"/>
  <c r="C191" i="1" s="1"/>
  <c r="A368" i="1" l="1"/>
  <c r="D367" i="1"/>
  <c r="H367" i="1" s="1"/>
  <c r="I367" i="1" s="1"/>
  <c r="E191" i="1"/>
  <c r="F191" i="1"/>
  <c r="A369" i="1" l="1"/>
  <c r="D368" i="1"/>
  <c r="H368" i="1" s="1"/>
  <c r="I368" i="1" s="1"/>
  <c r="B192" i="1"/>
  <c r="C192" i="1" s="1"/>
  <c r="A370" i="1" l="1"/>
  <c r="D369" i="1"/>
  <c r="H369" i="1" s="1"/>
  <c r="I369" i="1" s="1"/>
  <c r="E192" i="1"/>
  <c r="F192" i="1"/>
  <c r="A371" i="1" l="1"/>
  <c r="D370" i="1"/>
  <c r="H370" i="1" s="1"/>
  <c r="I370" i="1" s="1"/>
  <c r="B193" i="1"/>
  <c r="C193" i="1" s="1"/>
  <c r="A372" i="1" l="1"/>
  <c r="D371" i="1"/>
  <c r="H371" i="1" s="1"/>
  <c r="I371" i="1" s="1"/>
  <c r="E193" i="1"/>
  <c r="F193" i="1"/>
  <c r="A373" i="1" l="1"/>
  <c r="D372" i="1"/>
  <c r="H372" i="1" s="1"/>
  <c r="I372" i="1" s="1"/>
  <c r="B194" i="1"/>
  <c r="C194" i="1" s="1"/>
  <c r="A374" i="1" l="1"/>
  <c r="D373" i="1"/>
  <c r="H373" i="1" s="1"/>
  <c r="I373" i="1" s="1"/>
  <c r="E194" i="1"/>
  <c r="F194" i="1"/>
  <c r="A375" i="1" l="1"/>
  <c r="D374" i="1"/>
  <c r="H374" i="1" s="1"/>
  <c r="I374" i="1" s="1"/>
  <c r="B195" i="1"/>
  <c r="C195" i="1" s="1"/>
  <c r="A376" i="1" l="1"/>
  <c r="D375" i="1"/>
  <c r="H375" i="1" s="1"/>
  <c r="I375" i="1" s="1"/>
  <c r="E195" i="1"/>
  <c r="F195" i="1"/>
  <c r="A377" i="1" l="1"/>
  <c r="H376" i="1"/>
  <c r="I376" i="1"/>
  <c r="C376" i="1"/>
  <c r="F376" i="1"/>
  <c r="B376" i="1"/>
  <c r="E376" i="1"/>
  <c r="D376" i="1"/>
  <c r="B196" i="1"/>
  <c r="C196" i="1" s="1"/>
  <c r="E196" i="1" s="1"/>
  <c r="A378" i="1" l="1"/>
  <c r="H377" i="1"/>
  <c r="F377" i="1"/>
  <c r="I377" i="1"/>
  <c r="E377" i="1"/>
  <c r="C377" i="1"/>
  <c r="B377" i="1"/>
  <c r="D377" i="1"/>
  <c r="F196" i="1"/>
  <c r="A379" i="1" l="1"/>
  <c r="I378" i="1"/>
  <c r="H378" i="1"/>
  <c r="F378" i="1"/>
  <c r="E378" i="1"/>
  <c r="C378" i="1"/>
  <c r="B378" i="1"/>
  <c r="D378" i="1"/>
  <c r="B197" i="1"/>
  <c r="C197" i="1" s="1"/>
  <c r="E197" i="1" s="1"/>
  <c r="A380" i="1" l="1"/>
  <c r="I379" i="1"/>
  <c r="C379" i="1"/>
  <c r="H379" i="1"/>
  <c r="F379" i="1"/>
  <c r="B379" i="1"/>
  <c r="E379" i="1"/>
  <c r="D379" i="1"/>
  <c r="F197" i="1"/>
  <c r="A381" i="1" l="1"/>
  <c r="H380" i="1"/>
  <c r="I380" i="1"/>
  <c r="C380" i="1"/>
  <c r="B380" i="1"/>
  <c r="F380" i="1"/>
  <c r="E380" i="1"/>
  <c r="D380" i="1"/>
  <c r="B198" i="1"/>
  <c r="C198" i="1" s="1"/>
  <c r="E198" i="1" s="1"/>
  <c r="A382" i="1" l="1"/>
  <c r="H381" i="1"/>
  <c r="F381" i="1"/>
  <c r="I381" i="1"/>
  <c r="E381" i="1"/>
  <c r="B381" i="1"/>
  <c r="C381" i="1"/>
  <c r="D381" i="1"/>
  <c r="F198" i="1"/>
  <c r="A383" i="1" l="1"/>
  <c r="I382" i="1"/>
  <c r="H382" i="1"/>
  <c r="F382" i="1"/>
  <c r="C382" i="1"/>
  <c r="E382" i="1"/>
  <c r="B382" i="1"/>
  <c r="D382" i="1"/>
  <c r="B199" i="1"/>
  <c r="C199" i="1" s="1"/>
  <c r="E199" i="1" s="1"/>
  <c r="A384" i="1" l="1"/>
  <c r="I383" i="1"/>
  <c r="H383" i="1"/>
  <c r="F383" i="1"/>
  <c r="B383" i="1"/>
  <c r="C383" i="1"/>
  <c r="E383" i="1"/>
  <c r="D383" i="1"/>
  <c r="F199" i="1"/>
  <c r="A385" i="1" l="1"/>
  <c r="H384" i="1"/>
  <c r="I384" i="1"/>
  <c r="C384" i="1"/>
  <c r="B384" i="1"/>
  <c r="F384" i="1"/>
  <c r="E384" i="1"/>
  <c r="D384" i="1"/>
  <c r="B200" i="1"/>
  <c r="C200" i="1" s="1"/>
  <c r="A386" i="1" l="1"/>
  <c r="H385" i="1"/>
  <c r="F385" i="1"/>
  <c r="I385" i="1"/>
  <c r="E385" i="1"/>
  <c r="C385" i="1"/>
  <c r="B385" i="1"/>
  <c r="D385" i="1"/>
  <c r="E200" i="1"/>
  <c r="F200" i="1"/>
  <c r="A387" i="1" l="1"/>
  <c r="I386" i="1"/>
  <c r="H386" i="1"/>
  <c r="F386" i="1"/>
  <c r="E386" i="1"/>
  <c r="C386" i="1"/>
  <c r="B386" i="1"/>
  <c r="D386" i="1"/>
  <c r="B201" i="1"/>
  <c r="C201" i="1" s="1"/>
  <c r="A388" i="1" l="1"/>
  <c r="I387" i="1"/>
  <c r="H387" i="1"/>
  <c r="F387" i="1"/>
  <c r="C387" i="1"/>
  <c r="B387" i="1"/>
  <c r="E387" i="1"/>
  <c r="D387" i="1"/>
  <c r="E201" i="1"/>
  <c r="F201" i="1"/>
  <c r="A389" i="1" l="1"/>
  <c r="H388" i="1"/>
  <c r="I388" i="1"/>
  <c r="F388" i="1"/>
  <c r="C388" i="1"/>
  <c r="B388" i="1"/>
  <c r="E388" i="1"/>
  <c r="D388" i="1"/>
  <c r="B202" i="1"/>
  <c r="C202" i="1" s="1"/>
  <c r="A390" i="1" l="1"/>
  <c r="H389" i="1"/>
  <c r="F389" i="1"/>
  <c r="I389" i="1"/>
  <c r="E389" i="1"/>
  <c r="C389" i="1"/>
  <c r="B389" i="1"/>
  <c r="D389" i="1"/>
  <c r="E202" i="1"/>
  <c r="F202" i="1"/>
  <c r="A391" i="1" l="1"/>
  <c r="I390" i="1"/>
  <c r="H390" i="1"/>
  <c r="F390" i="1"/>
  <c r="E390" i="1"/>
  <c r="C390" i="1"/>
  <c r="B390" i="1"/>
  <c r="D390" i="1"/>
  <c r="B203" i="1"/>
  <c r="C203" i="1" s="1"/>
  <c r="A392" i="1" l="1"/>
  <c r="I391" i="1"/>
  <c r="H391" i="1"/>
  <c r="C391" i="1"/>
  <c r="B391" i="1"/>
  <c r="F391" i="1"/>
  <c r="E391" i="1"/>
  <c r="D391" i="1"/>
  <c r="E203" i="1"/>
  <c r="F203" i="1"/>
  <c r="A393" i="1" l="1"/>
  <c r="H392" i="1"/>
  <c r="I392" i="1"/>
  <c r="C392" i="1"/>
  <c r="B392" i="1"/>
  <c r="F392" i="1"/>
  <c r="E392" i="1"/>
  <c r="D392" i="1"/>
  <c r="B204" i="1"/>
  <c r="C204" i="1" s="1"/>
  <c r="E204" i="1" s="1"/>
  <c r="A394" i="1" l="1"/>
  <c r="H393" i="1"/>
  <c r="F393" i="1"/>
  <c r="I393" i="1"/>
  <c r="E393" i="1"/>
  <c r="C393" i="1"/>
  <c r="B393" i="1"/>
  <c r="D393" i="1"/>
  <c r="F204" i="1"/>
  <c r="A395" i="1" l="1"/>
  <c r="I394" i="1"/>
  <c r="H394" i="1"/>
  <c r="F394" i="1"/>
  <c r="E394" i="1"/>
  <c r="C394" i="1"/>
  <c r="B394" i="1"/>
  <c r="D394" i="1"/>
  <c r="B205" i="1"/>
  <c r="C205" i="1" s="1"/>
  <c r="A396" i="1" l="1"/>
  <c r="I395" i="1"/>
  <c r="H395" i="1"/>
  <c r="C395" i="1"/>
  <c r="B395" i="1"/>
  <c r="E395" i="1"/>
  <c r="F395" i="1"/>
  <c r="D395" i="1"/>
  <c r="E205" i="1"/>
  <c r="F205" i="1"/>
  <c r="A397" i="1" l="1"/>
  <c r="H396" i="1"/>
  <c r="I396" i="1"/>
  <c r="F396" i="1"/>
  <c r="C396" i="1"/>
  <c r="B396" i="1"/>
  <c r="E396" i="1"/>
  <c r="D396" i="1"/>
  <c r="B206" i="1"/>
  <c r="C206" i="1" s="1"/>
  <c r="A398" i="1" l="1"/>
  <c r="H397" i="1"/>
  <c r="F397" i="1"/>
  <c r="I397" i="1"/>
  <c r="E397" i="1"/>
  <c r="C397" i="1"/>
  <c r="B397" i="1"/>
  <c r="D397" i="1"/>
  <c r="E206" i="1"/>
  <c r="F206" i="1"/>
  <c r="A399" i="1" l="1"/>
  <c r="I398" i="1"/>
  <c r="H398" i="1"/>
  <c r="F398" i="1"/>
  <c r="E398" i="1"/>
  <c r="C398" i="1"/>
  <c r="B398" i="1"/>
  <c r="D398" i="1"/>
  <c r="B207" i="1"/>
  <c r="C207" i="1" s="1"/>
  <c r="A400" i="1" l="1"/>
  <c r="I399" i="1"/>
  <c r="H399" i="1"/>
  <c r="C399" i="1"/>
  <c r="B399" i="1"/>
  <c r="F399" i="1"/>
  <c r="E399" i="1"/>
  <c r="D399" i="1"/>
  <c r="E207" i="1"/>
  <c r="F207" i="1"/>
  <c r="A401" i="1" l="1"/>
  <c r="H400" i="1"/>
  <c r="I400" i="1"/>
  <c r="C400" i="1"/>
  <c r="B400" i="1"/>
  <c r="F400" i="1"/>
  <c r="E400" i="1"/>
  <c r="D400" i="1"/>
  <c r="B208" i="1"/>
  <c r="C208" i="1" s="1"/>
  <c r="A402" i="1" l="1"/>
  <c r="H401" i="1"/>
  <c r="F401" i="1"/>
  <c r="I401" i="1"/>
  <c r="E401" i="1"/>
  <c r="C401" i="1"/>
  <c r="B401" i="1"/>
  <c r="D401" i="1"/>
  <c r="E208" i="1"/>
  <c r="F208" i="1"/>
  <c r="A403" i="1" l="1"/>
  <c r="I402" i="1"/>
  <c r="H402" i="1"/>
  <c r="F402" i="1"/>
  <c r="E402" i="1"/>
  <c r="C402" i="1"/>
  <c r="B402" i="1"/>
  <c r="D402" i="1"/>
  <c r="B209" i="1"/>
  <c r="C209" i="1" s="1"/>
  <c r="A404" i="1" l="1"/>
  <c r="I403" i="1"/>
  <c r="H403" i="1"/>
  <c r="C403" i="1"/>
  <c r="B403" i="1"/>
  <c r="E403" i="1"/>
  <c r="F403" i="1"/>
  <c r="D403" i="1"/>
  <c r="E209" i="1"/>
  <c r="F209" i="1"/>
  <c r="A405" i="1" l="1"/>
  <c r="H404" i="1"/>
  <c r="I404" i="1"/>
  <c r="F404" i="1"/>
  <c r="C404" i="1"/>
  <c r="B404" i="1"/>
  <c r="E404" i="1"/>
  <c r="D404" i="1"/>
  <c r="B210" i="1"/>
  <c r="C210" i="1" s="1"/>
  <c r="A406" i="1" l="1"/>
  <c r="H405" i="1"/>
  <c r="F405" i="1"/>
  <c r="I405" i="1"/>
  <c r="E405" i="1"/>
  <c r="C405" i="1"/>
  <c r="B405" i="1"/>
  <c r="D405" i="1"/>
  <c r="E210" i="1"/>
  <c r="F210" i="1"/>
  <c r="A407" i="1" l="1"/>
  <c r="I406" i="1"/>
  <c r="H406" i="1"/>
  <c r="F406" i="1"/>
  <c r="E406" i="1"/>
  <c r="C406" i="1"/>
  <c r="B406" i="1"/>
  <c r="D406" i="1"/>
  <c r="B211" i="1"/>
  <c r="C211" i="1" s="1"/>
  <c r="A408" i="1" l="1"/>
  <c r="I407" i="1"/>
  <c r="H407" i="1"/>
  <c r="C407" i="1"/>
  <c r="B407" i="1"/>
  <c r="F407" i="1"/>
  <c r="E407" i="1"/>
  <c r="D407" i="1"/>
  <c r="E211" i="1"/>
  <c r="F211" i="1"/>
  <c r="A409" i="1" l="1"/>
  <c r="H408" i="1"/>
  <c r="I408" i="1"/>
  <c r="C408" i="1"/>
  <c r="B408" i="1"/>
  <c r="F408" i="1"/>
  <c r="E408" i="1"/>
  <c r="D408" i="1"/>
  <c r="B212" i="1"/>
  <c r="C212" i="1" s="1"/>
  <c r="A410" i="1" l="1"/>
  <c r="H409" i="1"/>
  <c r="F409" i="1"/>
  <c r="I409" i="1"/>
  <c r="E409" i="1"/>
  <c r="C409" i="1"/>
  <c r="B409" i="1"/>
  <c r="D409" i="1"/>
  <c r="E212" i="1"/>
  <c r="F212" i="1"/>
  <c r="A411" i="1" l="1"/>
  <c r="I410" i="1"/>
  <c r="H410" i="1"/>
  <c r="F410" i="1"/>
  <c r="E410" i="1"/>
  <c r="C410" i="1"/>
  <c r="B410" i="1"/>
  <c r="D410" i="1"/>
  <c r="B213" i="1"/>
  <c r="C213" i="1" s="1"/>
  <c r="A412" i="1" l="1"/>
  <c r="I411" i="1"/>
  <c r="H411" i="1"/>
  <c r="C411" i="1"/>
  <c r="B411" i="1"/>
  <c r="E411" i="1"/>
  <c r="F411" i="1"/>
  <c r="D411" i="1"/>
  <c r="E213" i="1"/>
  <c r="F213" i="1"/>
  <c r="A413" i="1" l="1"/>
  <c r="H412" i="1"/>
  <c r="I412" i="1"/>
  <c r="F412" i="1"/>
  <c r="C412" i="1"/>
  <c r="B412" i="1"/>
  <c r="E412" i="1"/>
  <c r="D412" i="1"/>
  <c r="B214" i="1"/>
  <c r="C214" i="1" s="1"/>
  <c r="A414" i="1" l="1"/>
  <c r="H413" i="1"/>
  <c r="F413" i="1"/>
  <c r="I413" i="1"/>
  <c r="E413" i="1"/>
  <c r="C413" i="1"/>
  <c r="B413" i="1"/>
  <c r="D413" i="1"/>
  <c r="E214" i="1"/>
  <c r="F214" i="1"/>
  <c r="A415" i="1" l="1"/>
  <c r="I414" i="1"/>
  <c r="H414" i="1"/>
  <c r="F414" i="1"/>
  <c r="E414" i="1"/>
  <c r="C414" i="1"/>
  <c r="B414" i="1"/>
  <c r="D414" i="1"/>
  <c r="B215" i="1"/>
  <c r="C215" i="1" s="1"/>
  <c r="A416" i="1" l="1"/>
  <c r="I415" i="1"/>
  <c r="H415" i="1"/>
  <c r="C415" i="1"/>
  <c r="B415" i="1"/>
  <c r="F415" i="1"/>
  <c r="E415" i="1"/>
  <c r="D415" i="1"/>
  <c r="E215" i="1"/>
  <c r="F215" i="1"/>
  <c r="A417" i="1" l="1"/>
  <c r="H416" i="1"/>
  <c r="I416" i="1"/>
  <c r="C416" i="1"/>
  <c r="B416" i="1"/>
  <c r="F416" i="1"/>
  <c r="E416" i="1"/>
  <c r="D416" i="1"/>
  <c r="B216" i="1"/>
  <c r="C216" i="1" s="1"/>
  <c r="A418" i="1" l="1"/>
  <c r="H417" i="1"/>
  <c r="F417" i="1"/>
  <c r="I417" i="1"/>
  <c r="E417" i="1"/>
  <c r="C417" i="1"/>
  <c r="B417" i="1"/>
  <c r="D417" i="1"/>
  <c r="E216" i="1"/>
  <c r="F216" i="1"/>
  <c r="A419" i="1" l="1"/>
  <c r="I418" i="1"/>
  <c r="H418" i="1"/>
  <c r="F418" i="1"/>
  <c r="E418" i="1"/>
  <c r="C418" i="1"/>
  <c r="B418" i="1"/>
  <c r="D418" i="1"/>
  <c r="B217" i="1"/>
  <c r="C217" i="1" s="1"/>
  <c r="A420" i="1" l="1"/>
  <c r="I419" i="1"/>
  <c r="H419" i="1"/>
  <c r="C419" i="1"/>
  <c r="B419" i="1"/>
  <c r="E419" i="1"/>
  <c r="F419" i="1"/>
  <c r="D419" i="1"/>
  <c r="E217" i="1"/>
  <c r="F217" i="1"/>
  <c r="A421" i="1" l="1"/>
  <c r="H420" i="1"/>
  <c r="I420" i="1"/>
  <c r="F420" i="1"/>
  <c r="C420" i="1"/>
  <c r="B420" i="1"/>
  <c r="E420" i="1"/>
  <c r="D420" i="1"/>
  <c r="B218" i="1"/>
  <c r="C218" i="1" s="1"/>
  <c r="A422" i="1" l="1"/>
  <c r="H421" i="1"/>
  <c r="F421" i="1"/>
  <c r="I421" i="1"/>
  <c r="E421" i="1"/>
  <c r="C421" i="1"/>
  <c r="B421" i="1"/>
  <c r="D421" i="1"/>
  <c r="E218" i="1"/>
  <c r="F218" i="1"/>
  <c r="A423" i="1" l="1"/>
  <c r="I422" i="1"/>
  <c r="H422" i="1"/>
  <c r="F422" i="1"/>
  <c r="E422" i="1"/>
  <c r="C422" i="1"/>
  <c r="B422" i="1"/>
  <c r="D422" i="1"/>
  <c r="B219" i="1"/>
  <c r="C219" i="1" s="1"/>
  <c r="F219" i="1" s="1"/>
  <c r="A424" i="1" l="1"/>
  <c r="I423" i="1"/>
  <c r="H423" i="1"/>
  <c r="C423" i="1"/>
  <c r="F423" i="1"/>
  <c r="E423" i="1"/>
  <c r="B423" i="1"/>
  <c r="D423" i="1"/>
  <c r="B220" i="1"/>
  <c r="C220" i="1" s="1"/>
  <c r="F220" i="1" s="1"/>
  <c r="E219" i="1"/>
  <c r="E220" i="1" l="1"/>
  <c r="A425" i="1"/>
  <c r="H424" i="1"/>
  <c r="I424" i="1"/>
  <c r="C424" i="1"/>
  <c r="B424" i="1"/>
  <c r="F424" i="1"/>
  <c r="E424" i="1"/>
  <c r="D424" i="1"/>
  <c r="B221" i="1"/>
  <c r="C221" i="1" s="1"/>
  <c r="F221" i="1" s="1"/>
  <c r="E221" i="1" l="1"/>
  <c r="A426" i="1"/>
  <c r="H425" i="1"/>
  <c r="F425" i="1"/>
  <c r="I425" i="1"/>
  <c r="E425" i="1"/>
  <c r="C425" i="1"/>
  <c r="B425" i="1"/>
  <c r="D425" i="1"/>
  <c r="B222" i="1"/>
  <c r="C222" i="1" s="1"/>
  <c r="F222" i="1" s="1"/>
  <c r="E222" i="1" l="1"/>
  <c r="A427" i="1"/>
  <c r="I426" i="1"/>
  <c r="H426" i="1"/>
  <c r="F426" i="1"/>
  <c r="E426" i="1"/>
  <c r="C426" i="1"/>
  <c r="B426" i="1"/>
  <c r="D426" i="1"/>
  <c r="B223" i="1"/>
  <c r="C223" i="1" s="1"/>
  <c r="F223" i="1" s="1"/>
  <c r="E223" i="1" l="1"/>
  <c r="A428" i="1"/>
  <c r="I427" i="1"/>
  <c r="H427" i="1"/>
  <c r="C427" i="1"/>
  <c r="E427" i="1"/>
  <c r="F427" i="1"/>
  <c r="B427" i="1"/>
  <c r="D427" i="1"/>
  <c r="B224" i="1"/>
  <c r="C224" i="1" s="1"/>
  <c r="F224" i="1" s="1"/>
  <c r="E224" i="1" l="1"/>
  <c r="A429" i="1"/>
  <c r="H428" i="1"/>
  <c r="I428" i="1"/>
  <c r="F428" i="1"/>
  <c r="C428" i="1"/>
  <c r="B428" i="1"/>
  <c r="E428" i="1"/>
  <c r="D428" i="1"/>
  <c r="B225" i="1"/>
  <c r="C225" i="1" s="1"/>
  <c r="F225" i="1" s="1"/>
  <c r="E225" i="1" l="1"/>
  <c r="A430" i="1"/>
  <c r="H429" i="1"/>
  <c r="F429" i="1"/>
  <c r="I429" i="1"/>
  <c r="E429" i="1"/>
  <c r="C429" i="1"/>
  <c r="B429" i="1"/>
  <c r="D429" i="1"/>
  <c r="B226" i="1"/>
  <c r="C226" i="1" s="1"/>
  <c r="F226" i="1" s="1"/>
  <c r="E226" i="1" l="1"/>
  <c r="A431" i="1"/>
  <c r="I430" i="1"/>
  <c r="H430" i="1"/>
  <c r="F430" i="1"/>
  <c r="E430" i="1"/>
  <c r="C430" i="1"/>
  <c r="B430" i="1"/>
  <c r="D430" i="1"/>
  <c r="B227" i="1"/>
  <c r="C227" i="1" s="1"/>
  <c r="F227" i="1" s="1"/>
  <c r="E227" i="1" l="1"/>
  <c r="A432" i="1"/>
  <c r="I431" i="1"/>
  <c r="H431" i="1"/>
  <c r="C431" i="1"/>
  <c r="F431" i="1"/>
  <c r="E431" i="1"/>
  <c r="B431" i="1"/>
  <c r="D431" i="1"/>
  <c r="B228" i="1"/>
  <c r="C228" i="1" s="1"/>
  <c r="F228" i="1" s="1"/>
  <c r="E228" i="1" l="1"/>
  <c r="A433" i="1"/>
  <c r="H432" i="1"/>
  <c r="I432" i="1"/>
  <c r="C432" i="1"/>
  <c r="B432" i="1"/>
  <c r="F432" i="1"/>
  <c r="E432" i="1"/>
  <c r="D432" i="1"/>
  <c r="B229" i="1"/>
  <c r="C229" i="1" s="1"/>
  <c r="F229" i="1" s="1"/>
  <c r="E229" i="1" l="1"/>
  <c r="A434" i="1"/>
  <c r="H433" i="1"/>
  <c r="F433" i="1"/>
  <c r="I433" i="1"/>
  <c r="E433" i="1"/>
  <c r="C433" i="1"/>
  <c r="B433" i="1"/>
  <c r="D433" i="1"/>
  <c r="B230" i="1"/>
  <c r="C230" i="1" s="1"/>
  <c r="F230" i="1" s="1"/>
  <c r="E230" i="1" l="1"/>
  <c r="A435" i="1"/>
  <c r="I434" i="1"/>
  <c r="H434" i="1"/>
  <c r="F434" i="1"/>
  <c r="E434" i="1"/>
  <c r="C434" i="1"/>
  <c r="B434" i="1"/>
  <c r="D434" i="1"/>
  <c r="B231" i="1"/>
  <c r="C231" i="1" s="1"/>
  <c r="F231" i="1" s="1"/>
  <c r="E231" i="1" l="1"/>
  <c r="A436" i="1"/>
  <c r="I435" i="1"/>
  <c r="H435" i="1"/>
  <c r="C435" i="1"/>
  <c r="E435" i="1"/>
  <c r="F435" i="1"/>
  <c r="B435" i="1"/>
  <c r="D435" i="1"/>
  <c r="B232" i="1"/>
  <c r="C232" i="1" s="1"/>
  <c r="F232" i="1" s="1"/>
  <c r="E232" i="1" l="1"/>
  <c r="A437" i="1"/>
  <c r="H436" i="1"/>
  <c r="I436" i="1"/>
  <c r="F436" i="1"/>
  <c r="C436" i="1"/>
  <c r="B436" i="1"/>
  <c r="E436" i="1"/>
  <c r="D436" i="1"/>
  <c r="B233" i="1"/>
  <c r="C233" i="1" s="1"/>
  <c r="F233" i="1" s="1"/>
  <c r="E233" i="1" l="1"/>
  <c r="A438" i="1"/>
  <c r="H437" i="1"/>
  <c r="F437" i="1"/>
  <c r="I437" i="1"/>
  <c r="E437" i="1"/>
  <c r="C437" i="1"/>
  <c r="B437" i="1"/>
  <c r="D437" i="1"/>
  <c r="B234" i="1"/>
  <c r="C234" i="1" s="1"/>
  <c r="F234" i="1" s="1"/>
  <c r="E234" i="1" l="1"/>
  <c r="A439" i="1"/>
  <c r="I438" i="1"/>
  <c r="H438" i="1"/>
  <c r="F438" i="1"/>
  <c r="E438" i="1"/>
  <c r="C438" i="1"/>
  <c r="B438" i="1"/>
  <c r="D438" i="1"/>
  <c r="B235" i="1"/>
  <c r="C235" i="1" s="1"/>
  <c r="F235" i="1" s="1"/>
  <c r="E235" i="1" l="1"/>
  <c r="A440" i="1"/>
  <c r="I439" i="1"/>
  <c r="H439" i="1"/>
  <c r="C439" i="1"/>
  <c r="F439" i="1"/>
  <c r="E439" i="1"/>
  <c r="B439" i="1"/>
  <c r="D439" i="1"/>
  <c r="B236" i="1"/>
  <c r="C236" i="1" s="1"/>
  <c r="F236" i="1" s="1"/>
  <c r="E236" i="1" l="1"/>
  <c r="A441" i="1"/>
  <c r="H440" i="1"/>
  <c r="I440" i="1"/>
  <c r="C440" i="1"/>
  <c r="B440" i="1"/>
  <c r="F440" i="1"/>
  <c r="E440" i="1"/>
  <c r="D440" i="1"/>
  <c r="B237" i="1"/>
  <c r="C237" i="1" s="1"/>
  <c r="F237" i="1" s="1"/>
  <c r="E237" i="1" l="1"/>
  <c r="A442" i="1"/>
  <c r="H441" i="1"/>
  <c r="F441" i="1"/>
  <c r="I441" i="1"/>
  <c r="E441" i="1"/>
  <c r="C441" i="1"/>
  <c r="B441" i="1"/>
  <c r="D441" i="1"/>
  <c r="B238" i="1"/>
  <c r="C238" i="1" s="1"/>
  <c r="F238" i="1" s="1"/>
  <c r="E238" i="1" l="1"/>
  <c r="A443" i="1"/>
  <c r="I442" i="1"/>
  <c r="H442" i="1"/>
  <c r="F442" i="1"/>
  <c r="E442" i="1"/>
  <c r="C442" i="1"/>
  <c r="B442" i="1"/>
  <c r="D442" i="1"/>
  <c r="B239" i="1"/>
  <c r="C239" i="1" s="1"/>
  <c r="F239" i="1" s="1"/>
  <c r="E239" i="1" l="1"/>
  <c r="A444" i="1"/>
  <c r="I443" i="1"/>
  <c r="H443" i="1"/>
  <c r="C443" i="1"/>
  <c r="E443" i="1"/>
  <c r="F443" i="1"/>
  <c r="B443" i="1"/>
  <c r="D443" i="1"/>
  <c r="B240" i="1"/>
  <c r="C240" i="1" s="1"/>
  <c r="F240" i="1" s="1"/>
  <c r="E240" i="1" l="1"/>
  <c r="A445" i="1"/>
  <c r="H444" i="1"/>
  <c r="I444" i="1"/>
  <c r="F444" i="1"/>
  <c r="C444" i="1"/>
  <c r="B444" i="1"/>
  <c r="E444" i="1"/>
  <c r="D444" i="1"/>
  <c r="B241" i="1"/>
  <c r="C241" i="1" s="1"/>
  <c r="F241" i="1" s="1"/>
  <c r="E241" i="1" l="1"/>
  <c r="A446" i="1"/>
  <c r="H445" i="1"/>
  <c r="F445" i="1"/>
  <c r="I445" i="1"/>
  <c r="E445" i="1"/>
  <c r="C445" i="1"/>
  <c r="B445" i="1"/>
  <c r="D445" i="1"/>
  <c r="B242" i="1"/>
  <c r="C242" i="1" s="1"/>
  <c r="F242" i="1" s="1"/>
  <c r="E242" i="1" l="1"/>
  <c r="A447" i="1"/>
  <c r="I446" i="1"/>
  <c r="H446" i="1"/>
  <c r="F446" i="1"/>
  <c r="E446" i="1"/>
  <c r="C446" i="1"/>
  <c r="B446" i="1"/>
  <c r="D446" i="1"/>
  <c r="B243" i="1"/>
  <c r="C243" i="1" s="1"/>
  <c r="F243" i="1" s="1"/>
  <c r="E243" i="1" l="1"/>
  <c r="A448" i="1"/>
  <c r="I447" i="1"/>
  <c r="H447" i="1"/>
  <c r="C447" i="1"/>
  <c r="F447" i="1"/>
  <c r="E447" i="1"/>
  <c r="B447" i="1"/>
  <c r="D447" i="1"/>
  <c r="B244" i="1"/>
  <c r="C244" i="1" s="1"/>
  <c r="F244" i="1" s="1"/>
  <c r="E244" i="1" l="1"/>
  <c r="A449" i="1"/>
  <c r="H448" i="1"/>
  <c r="I448" i="1"/>
  <c r="C448" i="1"/>
  <c r="F448" i="1"/>
  <c r="E448" i="1"/>
  <c r="B448" i="1"/>
  <c r="D448" i="1"/>
  <c r="B245" i="1"/>
  <c r="C245" i="1" s="1"/>
  <c r="F245" i="1" s="1"/>
  <c r="E245" i="1" l="1"/>
  <c r="A450" i="1"/>
  <c r="H449" i="1"/>
  <c r="F449" i="1"/>
  <c r="I449" i="1"/>
  <c r="E449" i="1"/>
  <c r="C449" i="1"/>
  <c r="B449" i="1"/>
  <c r="D449" i="1"/>
  <c r="B246" i="1"/>
  <c r="C246" i="1" s="1"/>
  <c r="F246" i="1" s="1"/>
  <c r="E246" i="1" l="1"/>
  <c r="A451" i="1"/>
  <c r="I450" i="1"/>
  <c r="H450" i="1"/>
  <c r="F450" i="1"/>
  <c r="E450" i="1"/>
  <c r="C450" i="1"/>
  <c r="B450" i="1"/>
  <c r="D450" i="1"/>
  <c r="B247" i="1"/>
  <c r="C247" i="1" s="1"/>
  <c r="F247" i="1" s="1"/>
  <c r="E247" i="1" l="1"/>
  <c r="A452" i="1"/>
  <c r="I451" i="1"/>
  <c r="H451" i="1"/>
  <c r="C451" i="1"/>
  <c r="E451" i="1"/>
  <c r="F451" i="1"/>
  <c r="B451" i="1"/>
  <c r="D451" i="1"/>
  <c r="B248" i="1"/>
  <c r="C248" i="1" s="1"/>
  <c r="F248" i="1" s="1"/>
  <c r="E248" i="1" l="1"/>
  <c r="A453" i="1"/>
  <c r="H452" i="1"/>
  <c r="I452" i="1"/>
  <c r="F452" i="1"/>
  <c r="C452" i="1"/>
  <c r="E452" i="1"/>
  <c r="B452" i="1"/>
  <c r="D452" i="1"/>
  <c r="B249" i="1"/>
  <c r="C249" i="1" s="1"/>
  <c r="F249" i="1" s="1"/>
  <c r="E249" i="1" l="1"/>
  <c r="A454" i="1"/>
  <c r="H453" i="1"/>
  <c r="F453" i="1"/>
  <c r="I453" i="1"/>
  <c r="E453" i="1"/>
  <c r="C453" i="1"/>
  <c r="B453" i="1"/>
  <c r="D453" i="1"/>
  <c r="B250" i="1"/>
  <c r="C250" i="1" s="1"/>
  <c r="F250" i="1" s="1"/>
  <c r="E250" i="1" l="1"/>
  <c r="A455" i="1"/>
  <c r="I454" i="1"/>
  <c r="H454" i="1"/>
  <c r="F454" i="1"/>
  <c r="E454" i="1"/>
  <c r="C454" i="1"/>
  <c r="B454" i="1"/>
  <c r="D454" i="1"/>
  <c r="B251" i="1"/>
  <c r="C251" i="1" s="1"/>
  <c r="F251" i="1" s="1"/>
  <c r="E251" i="1" l="1"/>
  <c r="A456" i="1"/>
  <c r="I455" i="1"/>
  <c r="H455" i="1"/>
  <c r="C455" i="1"/>
  <c r="F455" i="1"/>
  <c r="E455" i="1"/>
  <c r="B455" i="1"/>
  <c r="D455" i="1"/>
  <c r="B252" i="1"/>
  <c r="C252" i="1" s="1"/>
  <c r="F252" i="1" s="1"/>
  <c r="E252" i="1" l="1"/>
  <c r="A457" i="1"/>
  <c r="H456" i="1"/>
  <c r="I456" i="1"/>
  <c r="C456" i="1"/>
  <c r="F456" i="1"/>
  <c r="E456" i="1"/>
  <c r="B456" i="1"/>
  <c r="D456" i="1"/>
  <c r="B253" i="1"/>
  <c r="C253" i="1" s="1"/>
  <c r="F253" i="1" s="1"/>
  <c r="E253" i="1" l="1"/>
  <c r="A458" i="1"/>
  <c r="H457" i="1"/>
  <c r="F457" i="1"/>
  <c r="I457" i="1"/>
  <c r="E457" i="1"/>
  <c r="C457" i="1"/>
  <c r="B457" i="1"/>
  <c r="D457" i="1"/>
  <c r="B254" i="1"/>
  <c r="C254" i="1" s="1"/>
  <c r="F254" i="1" s="1"/>
  <c r="E254" i="1" l="1"/>
  <c r="A459" i="1"/>
  <c r="I458" i="1"/>
  <c r="H458" i="1"/>
  <c r="F458" i="1"/>
  <c r="E458" i="1"/>
  <c r="C458" i="1"/>
  <c r="B458" i="1"/>
  <c r="D458" i="1"/>
  <c r="B255" i="1"/>
  <c r="C255" i="1" s="1"/>
  <c r="F255" i="1" s="1"/>
  <c r="E255" i="1" l="1"/>
  <c r="A460" i="1"/>
  <c r="I459" i="1"/>
  <c r="H459" i="1"/>
  <c r="C459" i="1"/>
  <c r="E459" i="1"/>
  <c r="F459" i="1"/>
  <c r="B459" i="1"/>
  <c r="D459" i="1"/>
  <c r="B256" i="1"/>
  <c r="C256" i="1" s="1"/>
  <c r="F256" i="1" s="1"/>
  <c r="E256" i="1"/>
  <c r="A461" i="1" l="1"/>
  <c r="H460" i="1"/>
  <c r="I460" i="1"/>
  <c r="F460" i="1"/>
  <c r="C460" i="1"/>
  <c r="E460" i="1"/>
  <c r="B460" i="1"/>
  <c r="D460" i="1"/>
  <c r="B257" i="1"/>
  <c r="C257" i="1" s="1"/>
  <c r="F257" i="1" s="1"/>
  <c r="E257" i="1" l="1"/>
  <c r="A462" i="1"/>
  <c r="H461" i="1"/>
  <c r="F461" i="1"/>
  <c r="I461" i="1"/>
  <c r="E461" i="1"/>
  <c r="C461" i="1"/>
  <c r="B461" i="1"/>
  <c r="D461" i="1"/>
  <c r="B258" i="1"/>
  <c r="C258" i="1" s="1"/>
  <c r="F258" i="1" s="1"/>
  <c r="E258" i="1"/>
  <c r="A463" i="1" l="1"/>
  <c r="I462" i="1"/>
  <c r="H462" i="1"/>
  <c r="F462" i="1"/>
  <c r="E462" i="1"/>
  <c r="C462" i="1"/>
  <c r="B462" i="1"/>
  <c r="D462" i="1"/>
  <c r="B259" i="1"/>
  <c r="C259" i="1" s="1"/>
  <c r="F259" i="1" s="1"/>
  <c r="E259" i="1"/>
  <c r="A464" i="1" l="1"/>
  <c r="I463" i="1"/>
  <c r="H463" i="1"/>
  <c r="C463" i="1"/>
  <c r="F463" i="1"/>
  <c r="E463" i="1"/>
  <c r="B463" i="1"/>
  <c r="D463" i="1"/>
  <c r="B260" i="1"/>
  <c r="C260" i="1" s="1"/>
  <c r="F260" i="1" s="1"/>
  <c r="E260" i="1" l="1"/>
  <c r="A465" i="1"/>
  <c r="H464" i="1"/>
  <c r="I464" i="1"/>
  <c r="C464" i="1"/>
  <c r="F464" i="1"/>
  <c r="E464" i="1"/>
  <c r="B464" i="1"/>
  <c r="D464" i="1"/>
  <c r="B261" i="1"/>
  <c r="C261" i="1" s="1"/>
  <c r="F261" i="1" s="1"/>
  <c r="E261" i="1"/>
  <c r="A466" i="1" l="1"/>
  <c r="H465" i="1"/>
  <c r="F465" i="1"/>
  <c r="I465" i="1"/>
  <c r="E465" i="1"/>
  <c r="C465" i="1"/>
  <c r="B465" i="1"/>
  <c r="D465" i="1"/>
  <c r="B262" i="1"/>
  <c r="C262" i="1" s="1"/>
  <c r="F262" i="1" s="1"/>
  <c r="E262" i="1"/>
  <c r="A467" i="1" l="1"/>
  <c r="I466" i="1"/>
  <c r="H466" i="1"/>
  <c r="F466" i="1"/>
  <c r="E466" i="1"/>
  <c r="C466" i="1"/>
  <c r="B466" i="1"/>
  <c r="D466" i="1"/>
  <c r="B263" i="1"/>
  <c r="C263" i="1" s="1"/>
  <c r="F263" i="1" s="1"/>
  <c r="E263" i="1"/>
  <c r="A468" i="1" l="1"/>
  <c r="I467" i="1"/>
  <c r="H467" i="1"/>
  <c r="C467" i="1"/>
  <c r="E467" i="1"/>
  <c r="F467" i="1"/>
  <c r="B467" i="1"/>
  <c r="D467" i="1"/>
  <c r="B264" i="1"/>
  <c r="C264" i="1" s="1"/>
  <c r="F264" i="1" s="1"/>
  <c r="E264" i="1"/>
  <c r="A469" i="1" l="1"/>
  <c r="H468" i="1"/>
  <c r="I468" i="1"/>
  <c r="F468" i="1"/>
  <c r="C468" i="1"/>
  <c r="E468" i="1"/>
  <c r="B468" i="1"/>
  <c r="D468" i="1"/>
  <c r="B265" i="1"/>
  <c r="C265" i="1" s="1"/>
  <c r="F265" i="1" s="1"/>
  <c r="E265" i="1"/>
  <c r="A470" i="1" l="1"/>
  <c r="H469" i="1"/>
  <c r="F469" i="1"/>
  <c r="I469" i="1"/>
  <c r="E469" i="1"/>
  <c r="C469" i="1"/>
  <c r="B469" i="1"/>
  <c r="D469" i="1"/>
  <c r="B266" i="1"/>
  <c r="C266" i="1" s="1"/>
  <c r="F266" i="1" s="1"/>
  <c r="E266" i="1"/>
  <c r="A471" i="1" l="1"/>
  <c r="I470" i="1"/>
  <c r="H470" i="1"/>
  <c r="F470" i="1"/>
  <c r="E470" i="1"/>
  <c r="C470" i="1"/>
  <c r="B470" i="1"/>
  <c r="D470" i="1"/>
  <c r="B267" i="1"/>
  <c r="C267" i="1" s="1"/>
  <c r="F267" i="1" s="1"/>
  <c r="E267" i="1"/>
  <c r="A472" i="1" l="1"/>
  <c r="I471" i="1"/>
  <c r="H471" i="1"/>
  <c r="C471" i="1"/>
  <c r="F471" i="1"/>
  <c r="E471" i="1"/>
  <c r="B471" i="1"/>
  <c r="D471" i="1"/>
  <c r="B268" i="1"/>
  <c r="C268" i="1" s="1"/>
  <c r="F268" i="1" s="1"/>
  <c r="E268" i="1" l="1"/>
  <c r="A473" i="1"/>
  <c r="H472" i="1"/>
  <c r="I472" i="1"/>
  <c r="C472" i="1"/>
  <c r="F472" i="1"/>
  <c r="E472" i="1"/>
  <c r="B472" i="1"/>
  <c r="D472" i="1"/>
  <c r="B269" i="1"/>
  <c r="C269" i="1" s="1"/>
  <c r="F269" i="1" s="1"/>
  <c r="E269" i="1"/>
  <c r="A474" i="1" l="1"/>
  <c r="H473" i="1"/>
  <c r="F473" i="1"/>
  <c r="I473" i="1"/>
  <c r="E473" i="1"/>
  <c r="C473" i="1"/>
  <c r="B473" i="1"/>
  <c r="D473" i="1"/>
  <c r="B270" i="1"/>
  <c r="C270" i="1" s="1"/>
  <c r="F270" i="1" s="1"/>
  <c r="E270" i="1" l="1"/>
  <c r="A475" i="1"/>
  <c r="I474" i="1"/>
  <c r="H474" i="1"/>
  <c r="F474" i="1"/>
  <c r="E474" i="1"/>
  <c r="C474" i="1"/>
  <c r="B474" i="1"/>
  <c r="D474" i="1"/>
  <c r="B271" i="1"/>
  <c r="C271" i="1" s="1"/>
  <c r="F271" i="1" s="1"/>
  <c r="E271" i="1"/>
  <c r="A476" i="1" l="1"/>
  <c r="I475" i="1"/>
  <c r="H475" i="1"/>
  <c r="C475" i="1"/>
  <c r="E475" i="1"/>
  <c r="F475" i="1"/>
  <c r="B475" i="1"/>
  <c r="D475" i="1"/>
  <c r="B272" i="1"/>
  <c r="C272" i="1" s="1"/>
  <c r="F272" i="1" s="1"/>
  <c r="E272" i="1" l="1"/>
  <c r="A477" i="1"/>
  <c r="H476" i="1"/>
  <c r="I476" i="1"/>
  <c r="F476" i="1"/>
  <c r="C476" i="1"/>
  <c r="E476" i="1"/>
  <c r="B476" i="1"/>
  <c r="D476" i="1"/>
  <c r="B273" i="1"/>
  <c r="C273" i="1" s="1"/>
  <c r="F273" i="1" s="1"/>
  <c r="A478" i="1" l="1"/>
  <c r="H477" i="1"/>
  <c r="F477" i="1"/>
  <c r="I477" i="1"/>
  <c r="E477" i="1"/>
  <c r="C477" i="1"/>
  <c r="B477" i="1"/>
  <c r="D477" i="1"/>
  <c r="E273" i="1"/>
  <c r="B274" i="1"/>
  <c r="C274" i="1" s="1"/>
  <c r="F274" i="1" s="1"/>
  <c r="E274" i="1" l="1"/>
  <c r="A479" i="1"/>
  <c r="I478" i="1"/>
  <c r="H478" i="1"/>
  <c r="F478" i="1"/>
  <c r="E478" i="1"/>
  <c r="C478" i="1"/>
  <c r="B478" i="1"/>
  <c r="D478" i="1"/>
  <c r="B275" i="1"/>
  <c r="C275" i="1" s="1"/>
  <c r="F275" i="1" s="1"/>
  <c r="E275" i="1" l="1"/>
  <c r="A480" i="1"/>
  <c r="I479" i="1"/>
  <c r="H479" i="1"/>
  <c r="C479" i="1"/>
  <c r="F479" i="1"/>
  <c r="E479" i="1"/>
  <c r="B479" i="1"/>
  <c r="D479" i="1"/>
  <c r="B276" i="1"/>
  <c r="C276" i="1" s="1"/>
  <c r="F276" i="1" s="1"/>
  <c r="E276" i="1"/>
  <c r="A481" i="1" l="1"/>
  <c r="H480" i="1"/>
  <c r="I480" i="1"/>
  <c r="C480" i="1"/>
  <c r="F480" i="1"/>
  <c r="E480" i="1"/>
  <c r="B480" i="1"/>
  <c r="D480" i="1"/>
  <c r="B277" i="1"/>
  <c r="C277" i="1" s="1"/>
  <c r="F277" i="1" s="1"/>
  <c r="E277" i="1" l="1"/>
  <c r="A482" i="1"/>
  <c r="H481" i="1"/>
  <c r="F481" i="1"/>
  <c r="I481" i="1"/>
  <c r="E481" i="1"/>
  <c r="C481" i="1"/>
  <c r="B481" i="1"/>
  <c r="D481" i="1"/>
  <c r="B278" i="1"/>
  <c r="C278" i="1" s="1"/>
  <c r="F278" i="1" s="1"/>
  <c r="E278" i="1"/>
  <c r="A483" i="1" l="1"/>
  <c r="I482" i="1"/>
  <c r="H482" i="1"/>
  <c r="F482" i="1"/>
  <c r="E482" i="1"/>
  <c r="C482" i="1"/>
  <c r="B482" i="1"/>
  <c r="D482" i="1"/>
  <c r="B279" i="1"/>
  <c r="C279" i="1" s="1"/>
  <c r="F279" i="1" s="1"/>
  <c r="E279" i="1"/>
  <c r="A484" i="1" l="1"/>
  <c r="I483" i="1"/>
  <c r="H483" i="1"/>
  <c r="C483" i="1"/>
  <c r="E483" i="1"/>
  <c r="F483" i="1"/>
  <c r="B483" i="1"/>
  <c r="D483" i="1"/>
  <c r="B280" i="1"/>
  <c r="C280" i="1" s="1"/>
  <c r="F280" i="1" s="1"/>
  <c r="E280" i="1" l="1"/>
  <c r="A485" i="1"/>
  <c r="I484" i="1"/>
  <c r="F484" i="1"/>
  <c r="C484" i="1"/>
  <c r="H484" i="1"/>
  <c r="E484" i="1"/>
  <c r="B484" i="1"/>
  <c r="D484" i="1"/>
  <c r="B281" i="1"/>
  <c r="C281" i="1" s="1"/>
  <c r="F281" i="1" s="1"/>
  <c r="H485" i="1" l="1"/>
  <c r="F485" i="1"/>
  <c r="I485" i="1"/>
  <c r="I5" i="1" s="1"/>
  <c r="E485" i="1"/>
  <c r="C485" i="1"/>
  <c r="B485" i="1"/>
  <c r="D485" i="1"/>
  <c r="E281" i="1"/>
  <c r="B282" i="1"/>
  <c r="C282" i="1" s="1"/>
  <c r="F282" i="1" s="1"/>
  <c r="E282" i="1" l="1"/>
  <c r="B283" i="1"/>
  <c r="C283" i="1" s="1"/>
  <c r="F283" i="1" s="1"/>
  <c r="E283" i="1" l="1"/>
  <c r="B284" i="1"/>
  <c r="C284" i="1" s="1"/>
  <c r="F284" i="1" s="1"/>
  <c r="E284" i="1"/>
  <c r="B285" i="1" l="1"/>
  <c r="C285" i="1" s="1"/>
  <c r="F285" i="1" s="1"/>
  <c r="E285" i="1"/>
  <c r="B286" i="1" l="1"/>
  <c r="C286" i="1" s="1"/>
  <c r="F286" i="1" s="1"/>
  <c r="E286" i="1"/>
  <c r="B287" i="1" l="1"/>
  <c r="C287" i="1" s="1"/>
  <c r="F287" i="1" s="1"/>
  <c r="E287" i="1"/>
  <c r="B288" i="1" l="1"/>
  <c r="C288" i="1" s="1"/>
  <c r="E288" i="1" s="1"/>
  <c r="F288" i="1" l="1"/>
  <c r="B289" i="1" l="1"/>
  <c r="C289" i="1" s="1"/>
  <c r="E289" i="1" s="1"/>
  <c r="F289" i="1" l="1"/>
  <c r="B290" i="1" l="1"/>
  <c r="C290" i="1" s="1"/>
  <c r="E290" i="1" s="1"/>
  <c r="F290" i="1" l="1"/>
  <c r="B291" i="1" l="1"/>
  <c r="C291" i="1" s="1"/>
  <c r="E291" i="1" s="1"/>
  <c r="F291" i="1" l="1"/>
  <c r="B292" i="1" l="1"/>
  <c r="C292" i="1" s="1"/>
  <c r="E292" i="1" s="1"/>
  <c r="F292" i="1" l="1"/>
  <c r="B293" i="1" l="1"/>
  <c r="C293" i="1" s="1"/>
  <c r="E293" i="1" s="1"/>
  <c r="F293" i="1" l="1"/>
  <c r="B294" i="1" l="1"/>
  <c r="C294" i="1" s="1"/>
  <c r="E294" i="1" s="1"/>
  <c r="F294" i="1" l="1"/>
  <c r="B295" i="1" l="1"/>
  <c r="C295" i="1" s="1"/>
  <c r="E295" i="1" s="1"/>
  <c r="F295" i="1" l="1"/>
  <c r="B296" i="1" l="1"/>
  <c r="C296" i="1" s="1"/>
  <c r="E296" i="1" s="1"/>
  <c r="F296" i="1" l="1"/>
  <c r="B297" i="1" l="1"/>
  <c r="C297" i="1" s="1"/>
  <c r="E297" i="1" s="1"/>
  <c r="F297" i="1" l="1"/>
  <c r="B298" i="1" l="1"/>
  <c r="C298" i="1" s="1"/>
  <c r="E298" i="1" s="1"/>
  <c r="F298" i="1" l="1"/>
  <c r="B299" i="1" l="1"/>
  <c r="C299" i="1" s="1"/>
  <c r="E299" i="1" s="1"/>
  <c r="F299" i="1" l="1"/>
  <c r="B300" i="1" l="1"/>
  <c r="C300" i="1" s="1"/>
  <c r="E300" i="1" s="1"/>
  <c r="F300" i="1" l="1"/>
  <c r="B301" i="1" l="1"/>
  <c r="C301" i="1" s="1"/>
  <c r="E301" i="1" s="1"/>
  <c r="F301" i="1" l="1"/>
  <c r="B302" i="1" l="1"/>
  <c r="C302" i="1" s="1"/>
  <c r="E302" i="1" s="1"/>
  <c r="F302" i="1" l="1"/>
  <c r="B303" i="1" l="1"/>
  <c r="C303" i="1" s="1"/>
  <c r="E303" i="1" s="1"/>
  <c r="F303" i="1" l="1"/>
  <c r="B304" i="1" l="1"/>
  <c r="C304" i="1" s="1"/>
  <c r="E304" i="1" s="1"/>
  <c r="F304" i="1" l="1"/>
  <c r="B305" i="1" l="1"/>
  <c r="C305" i="1" s="1"/>
  <c r="E305" i="1" s="1"/>
  <c r="F305" i="1" l="1"/>
  <c r="B306" i="1" l="1"/>
  <c r="C306" i="1" s="1"/>
  <c r="E306" i="1" s="1"/>
  <c r="F306" i="1" l="1"/>
  <c r="B307" i="1" l="1"/>
  <c r="C307" i="1" s="1"/>
  <c r="E307" i="1" s="1"/>
  <c r="F307" i="1" l="1"/>
  <c r="B308" i="1" l="1"/>
  <c r="C308" i="1" s="1"/>
  <c r="E308" i="1" s="1"/>
  <c r="F308" i="1" l="1"/>
  <c r="B309" i="1" l="1"/>
  <c r="C309" i="1" s="1"/>
  <c r="E309" i="1" s="1"/>
  <c r="F309" i="1" l="1"/>
  <c r="B310" i="1" l="1"/>
  <c r="C310" i="1" s="1"/>
  <c r="E310" i="1" s="1"/>
  <c r="F310" i="1" l="1"/>
  <c r="B311" i="1" l="1"/>
  <c r="C311" i="1" s="1"/>
  <c r="E311" i="1" s="1"/>
  <c r="F311" i="1" l="1"/>
  <c r="B312" i="1" l="1"/>
  <c r="C312" i="1" s="1"/>
  <c r="E312" i="1" s="1"/>
  <c r="F312" i="1" l="1"/>
  <c r="B313" i="1" l="1"/>
  <c r="C313" i="1" s="1"/>
  <c r="E313" i="1" s="1"/>
  <c r="F313" i="1" l="1"/>
  <c r="B314" i="1" l="1"/>
  <c r="C314" i="1" s="1"/>
  <c r="E314" i="1" s="1"/>
  <c r="F314" i="1" l="1"/>
  <c r="B315" i="1" l="1"/>
  <c r="C315" i="1" s="1"/>
  <c r="E315" i="1" s="1"/>
  <c r="F315" i="1" l="1"/>
  <c r="B316" i="1" l="1"/>
  <c r="C316" i="1" s="1"/>
  <c r="E316" i="1" s="1"/>
  <c r="F316" i="1" l="1"/>
  <c r="B317" i="1" l="1"/>
  <c r="C317" i="1" s="1"/>
  <c r="E317" i="1" s="1"/>
  <c r="F317" i="1" l="1"/>
  <c r="B318" i="1" l="1"/>
  <c r="C318" i="1" s="1"/>
  <c r="E318" i="1" s="1"/>
  <c r="F318" i="1" l="1"/>
  <c r="B319" i="1" l="1"/>
  <c r="C319" i="1" s="1"/>
  <c r="E319" i="1" s="1"/>
  <c r="F319" i="1" l="1"/>
  <c r="B320" i="1" l="1"/>
  <c r="C320" i="1" s="1"/>
  <c r="E320" i="1" s="1"/>
  <c r="F320" i="1" l="1"/>
  <c r="B321" i="1" l="1"/>
  <c r="C321" i="1" s="1"/>
  <c r="E321" i="1" s="1"/>
  <c r="F321" i="1" l="1"/>
  <c r="B322" i="1" l="1"/>
  <c r="C322" i="1" s="1"/>
  <c r="E322" i="1" s="1"/>
  <c r="F322" i="1" l="1"/>
  <c r="B323" i="1" l="1"/>
  <c r="C323" i="1" s="1"/>
  <c r="E323" i="1" s="1"/>
  <c r="F323" i="1" l="1"/>
  <c r="B324" i="1" l="1"/>
  <c r="C324" i="1" s="1"/>
  <c r="E324" i="1" s="1"/>
  <c r="F324" i="1" l="1"/>
  <c r="B325" i="1" l="1"/>
  <c r="C325" i="1" s="1"/>
  <c r="E325" i="1" s="1"/>
  <c r="F325" i="1" l="1"/>
  <c r="B326" i="1" l="1"/>
  <c r="C326" i="1" s="1"/>
  <c r="E326" i="1" s="1"/>
  <c r="F326" i="1" l="1"/>
  <c r="B327" i="1" l="1"/>
  <c r="C327" i="1" s="1"/>
  <c r="E327" i="1" s="1"/>
  <c r="F327" i="1" l="1"/>
  <c r="B328" i="1" l="1"/>
  <c r="C328" i="1" s="1"/>
  <c r="E328" i="1" s="1"/>
  <c r="F328" i="1" l="1"/>
  <c r="B329" i="1" l="1"/>
  <c r="C329" i="1" s="1"/>
  <c r="E329" i="1" s="1"/>
  <c r="F329" i="1" l="1"/>
  <c r="B330" i="1" l="1"/>
  <c r="C330" i="1" s="1"/>
  <c r="E330" i="1" s="1"/>
  <c r="F330" i="1" l="1"/>
  <c r="B331" i="1" l="1"/>
  <c r="C331" i="1" s="1"/>
  <c r="E331" i="1" s="1"/>
  <c r="F331" i="1" l="1"/>
  <c r="B332" i="1" l="1"/>
  <c r="C332" i="1" s="1"/>
  <c r="E332" i="1" s="1"/>
  <c r="F332" i="1" l="1"/>
  <c r="B333" i="1" l="1"/>
  <c r="C333" i="1" s="1"/>
  <c r="E333" i="1" s="1"/>
  <c r="F333" i="1" l="1"/>
  <c r="B334" i="1" l="1"/>
  <c r="C334" i="1" s="1"/>
  <c r="E334" i="1" s="1"/>
  <c r="F334" i="1" l="1"/>
  <c r="B335" i="1" l="1"/>
  <c r="C335" i="1" s="1"/>
  <c r="E335" i="1" s="1"/>
  <c r="F335" i="1" l="1"/>
  <c r="B336" i="1" l="1"/>
  <c r="C336" i="1" s="1"/>
  <c r="E336" i="1" s="1"/>
  <c r="F336" i="1" l="1"/>
  <c r="B337" i="1" l="1"/>
  <c r="C337" i="1" s="1"/>
  <c r="E337" i="1" s="1"/>
  <c r="F337" i="1" l="1"/>
  <c r="B338" i="1" l="1"/>
  <c r="C338" i="1" s="1"/>
  <c r="E338" i="1" s="1"/>
  <c r="F338" i="1" l="1"/>
  <c r="B339" i="1" l="1"/>
  <c r="C339" i="1" s="1"/>
  <c r="E339" i="1" s="1"/>
  <c r="F339" i="1" l="1"/>
  <c r="B340" i="1" l="1"/>
  <c r="C340" i="1" s="1"/>
  <c r="E340" i="1" s="1"/>
  <c r="F340" i="1" l="1"/>
  <c r="B341" i="1" l="1"/>
  <c r="C341" i="1" s="1"/>
  <c r="E341" i="1" s="1"/>
  <c r="F341" i="1" l="1"/>
  <c r="B342" i="1" l="1"/>
  <c r="C342" i="1" s="1"/>
  <c r="E342" i="1" s="1"/>
  <c r="F342" i="1" l="1"/>
  <c r="B343" i="1" l="1"/>
  <c r="C343" i="1" s="1"/>
  <c r="E343" i="1" s="1"/>
  <c r="F343" i="1" l="1"/>
  <c r="B344" i="1" l="1"/>
  <c r="C344" i="1" s="1"/>
  <c r="E344" i="1" s="1"/>
  <c r="F344" i="1" l="1"/>
  <c r="B345" i="1" l="1"/>
  <c r="C345" i="1" s="1"/>
  <c r="E345" i="1" s="1"/>
  <c r="F345" i="1" l="1"/>
  <c r="B346" i="1" l="1"/>
  <c r="C346" i="1" s="1"/>
  <c r="E346" i="1" s="1"/>
  <c r="F346" i="1" l="1"/>
  <c r="B347" i="1" l="1"/>
  <c r="C347" i="1" s="1"/>
  <c r="E347" i="1" s="1"/>
  <c r="F347" i="1" l="1"/>
  <c r="B348" i="1" l="1"/>
  <c r="C348" i="1" s="1"/>
  <c r="E348" i="1" s="1"/>
  <c r="F348" i="1" l="1"/>
  <c r="B349" i="1" l="1"/>
  <c r="C349" i="1" s="1"/>
  <c r="E349" i="1" s="1"/>
  <c r="F349" i="1" l="1"/>
  <c r="B350" i="1" l="1"/>
  <c r="C350" i="1" s="1"/>
  <c r="E350" i="1" s="1"/>
  <c r="F350" i="1" l="1"/>
  <c r="B351" i="1" l="1"/>
  <c r="C351" i="1" s="1"/>
  <c r="E351" i="1" s="1"/>
  <c r="F351" i="1" l="1"/>
  <c r="B352" i="1" l="1"/>
  <c r="C352" i="1" s="1"/>
  <c r="E352" i="1" s="1"/>
  <c r="F352" i="1" l="1"/>
  <c r="B353" i="1" l="1"/>
  <c r="C353" i="1" s="1"/>
  <c r="E353" i="1" s="1"/>
  <c r="F353" i="1" l="1"/>
  <c r="B354" i="1" l="1"/>
  <c r="C354" i="1" s="1"/>
  <c r="E354" i="1" s="1"/>
  <c r="F354" i="1" l="1"/>
  <c r="B355" i="1" l="1"/>
  <c r="C355" i="1" s="1"/>
  <c r="E355" i="1" s="1"/>
  <c r="F355" i="1" l="1"/>
  <c r="B356" i="1" l="1"/>
  <c r="C356" i="1" s="1"/>
  <c r="E356" i="1" s="1"/>
  <c r="F356" i="1" l="1"/>
  <c r="B357" i="1" l="1"/>
  <c r="C357" i="1" s="1"/>
  <c r="E357" i="1" s="1"/>
  <c r="F357" i="1" l="1"/>
  <c r="B358" i="1" l="1"/>
  <c r="C358" i="1" s="1"/>
  <c r="E358" i="1" s="1"/>
  <c r="F358" i="1" l="1"/>
  <c r="B359" i="1" l="1"/>
  <c r="C359" i="1" s="1"/>
  <c r="E359" i="1" s="1"/>
  <c r="F359" i="1" l="1"/>
  <c r="B360" i="1" l="1"/>
  <c r="C360" i="1" s="1"/>
  <c r="E360" i="1" s="1"/>
  <c r="F360" i="1" l="1"/>
  <c r="B361" i="1" l="1"/>
  <c r="C361" i="1" s="1"/>
  <c r="E361" i="1" s="1"/>
  <c r="F361" i="1" l="1"/>
  <c r="B362" i="1" l="1"/>
  <c r="C362" i="1" s="1"/>
  <c r="E362" i="1" s="1"/>
  <c r="F362" i="1" l="1"/>
  <c r="B363" i="1" l="1"/>
  <c r="C363" i="1" s="1"/>
  <c r="E363" i="1" s="1"/>
  <c r="F363" i="1" l="1"/>
  <c r="B364" i="1" l="1"/>
  <c r="C364" i="1" s="1"/>
  <c r="E364" i="1" s="1"/>
  <c r="F364" i="1" l="1"/>
  <c r="B365" i="1" l="1"/>
  <c r="C365" i="1" s="1"/>
  <c r="E365" i="1" s="1"/>
  <c r="F365" i="1" l="1"/>
  <c r="B366" i="1" l="1"/>
  <c r="C366" i="1" s="1"/>
  <c r="E366" i="1" s="1"/>
  <c r="F366" i="1" l="1"/>
  <c r="B367" i="1" l="1"/>
  <c r="C367" i="1" s="1"/>
  <c r="E367" i="1" s="1"/>
  <c r="F367" i="1" l="1"/>
  <c r="B368" i="1" l="1"/>
  <c r="C368" i="1" s="1"/>
  <c r="E368" i="1" s="1"/>
  <c r="F368" i="1" l="1"/>
  <c r="B369" i="1" l="1"/>
  <c r="C369" i="1" s="1"/>
  <c r="E369" i="1" s="1"/>
  <c r="F369" i="1" l="1"/>
  <c r="B370" i="1" l="1"/>
  <c r="C370" i="1" s="1"/>
  <c r="E370" i="1" s="1"/>
  <c r="F370" i="1" l="1"/>
  <c r="B371" i="1" l="1"/>
  <c r="C371" i="1" s="1"/>
  <c r="E371" i="1" s="1"/>
  <c r="F371" i="1" l="1"/>
  <c r="B372" i="1" l="1"/>
  <c r="C372" i="1" s="1"/>
  <c r="E372" i="1" s="1"/>
  <c r="F372" i="1" l="1"/>
  <c r="B373" i="1" l="1"/>
  <c r="C373" i="1" s="1"/>
  <c r="E373" i="1" s="1"/>
  <c r="F373" i="1" l="1"/>
  <c r="B374" i="1" l="1"/>
  <c r="C374" i="1" s="1"/>
  <c r="E374" i="1" s="1"/>
  <c r="F374" i="1" l="1"/>
  <c r="B375" i="1" l="1"/>
  <c r="C375" i="1" s="1"/>
  <c r="E375" i="1" s="1"/>
  <c r="F375" i="1" l="1"/>
</calcChain>
</file>

<file path=xl/sharedStrings.xml><?xml version="1.0" encoding="utf-8"?>
<sst xmlns="http://schemas.openxmlformats.org/spreadsheetml/2006/main" count="25" uniqueCount="24">
  <si>
    <t>Tipo</t>
  </si>
  <si>
    <t>Duración</t>
  </si>
  <si>
    <t>Cuota</t>
  </si>
  <si>
    <t>TAE</t>
  </si>
  <si>
    <t>Imp Com Sub</t>
  </si>
  <si>
    <t>Imp Com Nov</t>
  </si>
  <si>
    <t>Cobros</t>
  </si>
  <si>
    <t>Pagos</t>
  </si>
  <si>
    <t>Pagos act</t>
  </si>
  <si>
    <t>Cobros - Pagos</t>
  </si>
  <si>
    <t>TIR</t>
  </si>
  <si>
    <t>CUADRO AMORTIZACIÓN</t>
  </si>
  <si>
    <t>Importe Financiado</t>
  </si>
  <si>
    <t>Mes</t>
  </si>
  <si>
    <t>Intereses</t>
  </si>
  <si>
    <t>Capital</t>
  </si>
  <si>
    <t>Cap. Amortizado</t>
  </si>
  <si>
    <t>Cap. Pte. Amortizar</t>
  </si>
  <si>
    <t>PROPUESTA Nº:</t>
  </si>
  <si>
    <t>Com. Sub (% /MIN)</t>
  </si>
  <si>
    <t>Com. Nov (%7MIN)</t>
  </si>
  <si>
    <t>0182 4462 0083 00000000002506</t>
  </si>
  <si>
    <t>Tasación:</t>
  </si>
  <si>
    <t>Impuestos: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</si>
</sst>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#,##0.00\ &quot;€&quot;"/>
    <numFmt numFmtId="166" formatCode="0.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 applyProtection="1">
      <alignment horizontal="left"/>
      <protection hidden="1"/>
    </xf>
    <xf numFmtId="164" fontId="0" fillId="4" borderId="0" xfId="0" applyNumberFormat="1" applyFill="1" applyAlignment="1" applyProtection="1">
      <alignment horizontal="left"/>
      <protection hidden="1"/>
    </xf>
    <xf numFmtId="165" fontId="0" fillId="4" borderId="0" xfId="0" applyNumberFormat="1" applyFill="1" applyAlignment="1" applyProtection="1">
      <alignment horizontal="left"/>
      <protection hidden="1"/>
    </xf>
    <xf numFmtId="164" fontId="0" fillId="2" borderId="0" xfId="0" applyNumberFormat="1" applyFill="1" applyAlignment="1" applyProtection="1">
      <alignment horizontal="left"/>
      <protection hidden="1"/>
    </xf>
    <xf numFmtId="165" fontId="0" fillId="2" borderId="0" xfId="0" applyNumberFormat="1" applyFill="1" applyAlignment="1" applyProtection="1">
      <alignment horizontal="left"/>
      <protection hidden="1"/>
    </xf>
    <xf numFmtId="0" fontId="2" fillId="2" borderId="0" xfId="0" applyFont="1" applyFill="1" applyAlignment="1" applyProtection="1">
      <alignment horizontal="left"/>
      <protection hidden="1"/>
    </xf>
    <xf numFmtId="0" fontId="0" fillId="4" borderId="0" xfId="0" applyFill="1" applyAlignment="1" applyProtection="1">
      <alignment horizontal="left"/>
      <protection hidden="1"/>
    </xf>
    <xf numFmtId="0" fontId="1" fillId="2" borderId="0" xfId="0" applyFont="1" applyFill="1" applyAlignment="1" applyProtection="1">
      <alignment horizontal="left"/>
      <protection hidden="1"/>
    </xf>
    <xf numFmtId="165" fontId="1" fillId="3" borderId="0" xfId="0" applyNumberFormat="1" applyFont="1" applyFill="1" applyAlignment="1" applyProtection="1">
      <alignment horizontal="left"/>
      <protection hidden="1"/>
    </xf>
    <xf numFmtId="166" fontId="1" fillId="3" borderId="0" xfId="0" applyNumberFormat="1" applyFont="1" applyFill="1" applyAlignment="1" applyProtection="1">
      <alignment horizontal="left"/>
      <protection hidden="1"/>
    </xf>
    <xf numFmtId="0" fontId="1" fillId="3" borderId="1" xfId="0" applyFont="1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left"/>
      <protection hidden="1"/>
    </xf>
    <xf numFmtId="165" fontId="0" fillId="2" borderId="1" xfId="0" applyNumberFormat="1" applyFill="1" applyBorder="1" applyAlignment="1" applyProtection="1">
      <alignment horizontal="left"/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0" fillId="4" borderId="0" xfId="0" applyFill="1" applyAlignment="1" applyProtection="1">
      <alignment horizontal="left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228600</xdr:colOff>
      <xdr:row>1</xdr:row>
      <xdr:rowOff>161925</xdr:rowOff>
    </xdr:to>
    <xdr:sp macro="[0]!Macro1" textlink="">
      <xdr:nvSpPr>
        <xdr:cNvPr id="3" name="2 Rectángulo"/>
        <xdr:cNvSpPr/>
      </xdr:nvSpPr>
      <xdr:spPr>
        <a:xfrm>
          <a:off x="0" y="0"/>
          <a:ext cx="18002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Calcular  CUOTA/TAE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485"/>
  <sheetViews>
    <sheetView tabSelected="1" workbookViewId="0">
      <selection activeCell="B9" sqref="B9"/>
    </sheetView>
  </sheetViews>
  <sheetFormatPr baseColWidth="10" defaultRowHeight="15" x14ac:dyDescent="0.25"/>
  <cols>
    <col min="1" max="1" width="23.5703125" style="1" bestFit="1" customWidth="1"/>
    <col min="2" max="2" width="12.28515625" style="1" bestFit="1" customWidth="1"/>
    <col min="3" max="4" width="11.42578125" style="1"/>
    <col min="5" max="5" width="12.85546875" style="1" bestFit="1" customWidth="1"/>
    <col min="6" max="6" width="18.140625" style="1" bestFit="1" customWidth="1"/>
    <col min="7" max="7" width="13.85546875" style="1" hidden="1" customWidth="1"/>
    <col min="8" max="8" width="12.85546875" style="1" hidden="1" customWidth="1"/>
    <col min="9" max="10" width="11.42578125" style="1" hidden="1" customWidth="1"/>
    <col min="11" max="11" width="11.42578125" style="1" customWidth="1"/>
    <col min="12" max="16384" width="11.42578125" style="1"/>
  </cols>
  <sheetData>
    <row r="1" spans="1:11" x14ac:dyDescent="0.25">
      <c r="K1" s="14"/>
    </row>
    <row r="3" spans="1:11" x14ac:dyDescent="0.25">
      <c r="A3" s="1" t="s">
        <v>18</v>
      </c>
      <c r="B3" s="15" t="s">
        <v>21</v>
      </c>
      <c r="C3" s="15"/>
      <c r="D3" s="15"/>
      <c r="E3" s="15"/>
      <c r="F3" s="15"/>
    </row>
    <row r="4" spans="1:11" x14ac:dyDescent="0.25">
      <c r="A4" s="1" t="s">
        <v>19</v>
      </c>
      <c r="B4" s="2">
        <v>0</v>
      </c>
      <c r="C4" s="3">
        <v>250</v>
      </c>
      <c r="I4" s="1" t="s">
        <v>9</v>
      </c>
    </row>
    <row r="5" spans="1:11" x14ac:dyDescent="0.25">
      <c r="A5" s="1" t="s">
        <v>20</v>
      </c>
      <c r="B5" s="2">
        <v>0</v>
      </c>
      <c r="C5" s="3">
        <v>250</v>
      </c>
      <c r="G5" s="1" t="s">
        <v>10</v>
      </c>
      <c r="H5" s="4">
        <v>2.6393282833625819E-3</v>
      </c>
      <c r="I5" s="5">
        <f>SUM(I15:I485)+G15</f>
        <v>-2.8006616048514843E-7</v>
      </c>
    </row>
    <row r="6" spans="1:11" x14ac:dyDescent="0.25">
      <c r="A6" s="1" t="s">
        <v>23</v>
      </c>
      <c r="B6" s="3">
        <v>0</v>
      </c>
      <c r="H6" s="4"/>
      <c r="I6" s="5"/>
    </row>
    <row r="7" spans="1:11" x14ac:dyDescent="0.25">
      <c r="A7" s="1" t="s">
        <v>22</v>
      </c>
      <c r="B7" s="3">
        <v>250</v>
      </c>
      <c r="H7" s="4"/>
      <c r="I7" s="5"/>
    </row>
    <row r="8" spans="1:11" x14ac:dyDescent="0.25">
      <c r="A8" s="1" t="s">
        <v>12</v>
      </c>
      <c r="B8" s="3">
        <v>150000</v>
      </c>
      <c r="G8" s="1" t="s">
        <v>4</v>
      </c>
      <c r="H8" s="1">
        <f>MIN(B4*B8,C4)</f>
        <v>0</v>
      </c>
    </row>
    <row r="9" spans="1:11" x14ac:dyDescent="0.25">
      <c r="A9" s="1" t="s">
        <v>0</v>
      </c>
      <c r="B9" s="2">
        <v>3.2000000000000001E-2</v>
      </c>
      <c r="C9" s="6">
        <f>((1+B9)^(1/12))-1</f>
        <v>2.6283369587845051E-3</v>
      </c>
      <c r="G9" s="1" t="s">
        <v>5</v>
      </c>
      <c r="H9" s="1">
        <f>MIN(B5*B8,C5)</f>
        <v>0</v>
      </c>
    </row>
    <row r="10" spans="1:11" x14ac:dyDescent="0.25">
      <c r="A10" s="1" t="s">
        <v>1</v>
      </c>
      <c r="B10" s="7">
        <v>359</v>
      </c>
      <c r="H10" s="5">
        <f>H9+H8+B6+B7</f>
        <v>250</v>
      </c>
    </row>
    <row r="11" spans="1:11" x14ac:dyDescent="0.25">
      <c r="A11" s="8" t="s">
        <v>2</v>
      </c>
      <c r="B11" s="9">
        <f>B8/((1-(1+C9)^(-B10))/C9)</f>
        <v>646.01237946894048</v>
      </c>
    </row>
    <row r="12" spans="1:11" x14ac:dyDescent="0.25">
      <c r="A12" s="8" t="s">
        <v>3</v>
      </c>
      <c r="B12" s="10">
        <f>((1+H5)^(12))-1</f>
        <v>3.2135767927000902E-2</v>
      </c>
    </row>
    <row r="13" spans="1:11" x14ac:dyDescent="0.25">
      <c r="A13" s="8" t="s">
        <v>11</v>
      </c>
    </row>
    <row r="14" spans="1:11" x14ac:dyDescent="0.25">
      <c r="A14" s="11" t="s">
        <v>13</v>
      </c>
      <c r="B14" s="11" t="s">
        <v>14</v>
      </c>
      <c r="C14" s="11" t="s">
        <v>15</v>
      </c>
      <c r="D14" s="11" t="s">
        <v>2</v>
      </c>
      <c r="E14" s="11" t="s">
        <v>16</v>
      </c>
      <c r="F14" s="11" t="s">
        <v>17</v>
      </c>
      <c r="G14" s="1" t="s">
        <v>6</v>
      </c>
      <c r="H14" s="1" t="s">
        <v>7</v>
      </c>
      <c r="I14" s="1" t="s">
        <v>8</v>
      </c>
    </row>
    <row r="15" spans="1:11" x14ac:dyDescent="0.25">
      <c r="A15" s="12">
        <v>0</v>
      </c>
      <c r="B15" s="13"/>
      <c r="C15" s="13"/>
      <c r="D15" s="13"/>
      <c r="E15" s="13">
        <v>0</v>
      </c>
      <c r="F15" s="13">
        <f>B8</f>
        <v>150000</v>
      </c>
      <c r="G15" s="5">
        <f>F15</f>
        <v>150000</v>
      </c>
      <c r="H15" s="5">
        <f>-H9-H8-B6-B7</f>
        <v>-250</v>
      </c>
      <c r="I15" s="1">
        <f>((1+$H$5)^(-A15))*H15</f>
        <v>-250</v>
      </c>
    </row>
    <row r="16" spans="1:11" x14ac:dyDescent="0.25">
      <c r="A16" s="12">
        <f>IFERROR(IF(A15=$B$10,"",A15+1),"")</f>
        <v>1</v>
      </c>
      <c r="B16" s="13">
        <f>IF(A16&lt;&gt;"",F15*$C$9,"")</f>
        <v>394.25054381767575</v>
      </c>
      <c r="C16" s="13">
        <f>IF(A16&lt;&gt;"",D16-B16,"")</f>
        <v>251.76183565126473</v>
      </c>
      <c r="D16" s="13">
        <f t="shared" ref="D16:D79" si="0">IF(A16&lt;&gt;"",$B$11,"")</f>
        <v>646.01237946894048</v>
      </c>
      <c r="E16" s="13">
        <f>C16</f>
        <v>251.76183565126473</v>
      </c>
      <c r="F16" s="13">
        <f>IF(A16&lt;&gt;"",F15-C16,"")</f>
        <v>149748.23816434873</v>
      </c>
      <c r="H16" s="5">
        <f>IF(A16&lt;&gt;"",-D16,"")</f>
        <v>-646.01237946894048</v>
      </c>
      <c r="I16" s="1">
        <f t="shared" ref="I16:I79" si="1">IF(A16&lt;&gt;"",H16*(1+$H$5)^(-A16),"")</f>
        <v>-644.31182903526258</v>
      </c>
    </row>
    <row r="17" spans="1:9" x14ac:dyDescent="0.25">
      <c r="A17" s="12">
        <f t="shared" ref="A17:A80" si="2">IFERROR(IF(A16=$B$10,"",A16+1),"")</f>
        <v>2</v>
      </c>
      <c r="B17" s="13">
        <f t="shared" ref="B17:B80" si="3">IF(A17&lt;&gt;"",F16*$C$9,"")</f>
        <v>393.58882888022214</v>
      </c>
      <c r="C17" s="13">
        <f t="shared" ref="C17:C80" si="4">IF(A17&lt;&gt;"",D17-B17,"")</f>
        <v>252.42355058871834</v>
      </c>
      <c r="D17" s="13">
        <f t="shared" si="0"/>
        <v>646.01237946894048</v>
      </c>
      <c r="E17" s="13">
        <f>IF(A17&lt;&gt;"",E16+C17,"")</f>
        <v>504.18538623998307</v>
      </c>
      <c r="F17" s="13">
        <f t="shared" ref="F17:F80" si="5">IF(A17&lt;&gt;"",F16-C17,"")</f>
        <v>149495.81461376001</v>
      </c>
      <c r="H17" s="5">
        <f t="shared" ref="H17:H80" si="6">IF(A17&lt;&gt;"",-D17,"")</f>
        <v>-646.01237946894048</v>
      </c>
      <c r="I17" s="1">
        <f t="shared" si="1"/>
        <v>-642.61575509749946</v>
      </c>
    </row>
    <row r="18" spans="1:9" x14ac:dyDescent="0.25">
      <c r="A18" s="12">
        <f t="shared" si="2"/>
        <v>3</v>
      </c>
      <c r="B18" s="13">
        <f t="shared" si="3"/>
        <v>392.92537473294215</v>
      </c>
      <c r="C18" s="13">
        <f t="shared" si="4"/>
        <v>253.08700473599833</v>
      </c>
      <c r="D18" s="13">
        <f t="shared" si="0"/>
        <v>646.01237946894048</v>
      </c>
      <c r="E18" s="13">
        <f t="shared" ref="E18:E81" si="7">IF(A18&lt;&gt;"",E17+C18,"")</f>
        <v>757.27239097598135</v>
      </c>
      <c r="F18" s="13">
        <f t="shared" si="5"/>
        <v>149242.727609024</v>
      </c>
      <c r="H18" s="5">
        <f t="shared" si="6"/>
        <v>-646.01237946894048</v>
      </c>
      <c r="I18" s="1">
        <f t="shared" si="1"/>
        <v>-640.92414587181008</v>
      </c>
    </row>
    <row r="19" spans="1:9" x14ac:dyDescent="0.25">
      <c r="A19" s="12">
        <f t="shared" si="2"/>
        <v>4</v>
      </c>
      <c r="B19" s="13">
        <f t="shared" si="3"/>
        <v>392.26017680460643</v>
      </c>
      <c r="C19" s="13">
        <f t="shared" si="4"/>
        <v>253.75220266433405</v>
      </c>
      <c r="D19" s="13">
        <f t="shared" si="0"/>
        <v>646.01237946894048</v>
      </c>
      <c r="E19" s="13">
        <f t="shared" si="7"/>
        <v>1011.0245936403154</v>
      </c>
      <c r="F19" s="13">
        <f t="shared" si="5"/>
        <v>148988.97540635968</v>
      </c>
      <c r="H19" s="5">
        <f t="shared" si="6"/>
        <v>-646.01237946894048</v>
      </c>
      <c r="I19" s="1">
        <f t="shared" si="1"/>
        <v>-639.23698960537297</v>
      </c>
    </row>
    <row r="20" spans="1:9" x14ac:dyDescent="0.25">
      <c r="A20" s="12">
        <f t="shared" si="2"/>
        <v>5</v>
      </c>
      <c r="B20" s="13">
        <f t="shared" si="3"/>
        <v>391.59323051197083</v>
      </c>
      <c r="C20" s="13">
        <f t="shared" si="4"/>
        <v>254.41914895696965</v>
      </c>
      <c r="D20" s="13">
        <f t="shared" si="0"/>
        <v>646.01237946894048</v>
      </c>
      <c r="E20" s="13">
        <f t="shared" si="7"/>
        <v>1265.4437425972851</v>
      </c>
      <c r="F20" s="13">
        <f t="shared" si="5"/>
        <v>148734.5562574027</v>
      </c>
      <c r="H20" s="5">
        <f t="shared" si="6"/>
        <v>-646.01237946894048</v>
      </c>
      <c r="I20" s="1">
        <f t="shared" si="1"/>
        <v>-637.55427457630503</v>
      </c>
    </row>
    <row r="21" spans="1:9" x14ac:dyDescent="0.25">
      <c r="A21" s="12">
        <f t="shared" si="2"/>
        <v>6</v>
      </c>
      <c r="B21" s="13">
        <f t="shared" si="3"/>
        <v>390.9245312597447</v>
      </c>
      <c r="C21" s="13">
        <f t="shared" si="4"/>
        <v>255.08784820919578</v>
      </c>
      <c r="D21" s="13">
        <f t="shared" si="0"/>
        <v>646.01237946894048</v>
      </c>
      <c r="E21" s="13">
        <f t="shared" si="7"/>
        <v>1520.5315908064808</v>
      </c>
      <c r="F21" s="13">
        <f t="shared" si="5"/>
        <v>148479.46840919351</v>
      </c>
      <c r="H21" s="5">
        <f t="shared" si="6"/>
        <v>-646.01237946894048</v>
      </c>
      <c r="I21" s="1">
        <f t="shared" si="1"/>
        <v>-635.87598909357928</v>
      </c>
    </row>
    <row r="22" spans="1:9" x14ac:dyDescent="0.25">
      <c r="A22" s="12">
        <f t="shared" si="2"/>
        <v>7</v>
      </c>
      <c r="B22" s="13">
        <f t="shared" si="3"/>
        <v>390.25407444055963</v>
      </c>
      <c r="C22" s="13">
        <f t="shared" si="4"/>
        <v>255.75830502838085</v>
      </c>
      <c r="D22" s="13">
        <f t="shared" si="0"/>
        <v>646.01237946894048</v>
      </c>
      <c r="E22" s="13">
        <f t="shared" si="7"/>
        <v>1776.2898958348617</v>
      </c>
      <c r="F22" s="13">
        <f t="shared" si="5"/>
        <v>148223.71010416513</v>
      </c>
      <c r="H22" s="5">
        <f t="shared" si="6"/>
        <v>-646.01237946894048</v>
      </c>
      <c r="I22" s="1">
        <f t="shared" si="1"/>
        <v>-634.20212149694385</v>
      </c>
    </row>
    <row r="23" spans="1:9" x14ac:dyDescent="0.25">
      <c r="A23" s="12">
        <f t="shared" si="2"/>
        <v>8</v>
      </c>
      <c r="B23" s="13">
        <f t="shared" si="3"/>
        <v>389.58185543493749</v>
      </c>
      <c r="C23" s="13">
        <f t="shared" si="4"/>
        <v>256.43052403400299</v>
      </c>
      <c r="D23" s="13">
        <f t="shared" si="0"/>
        <v>646.01237946894048</v>
      </c>
      <c r="E23" s="13">
        <f t="shared" si="7"/>
        <v>2032.7204198688646</v>
      </c>
      <c r="F23" s="13">
        <f t="shared" si="5"/>
        <v>147967.27958013114</v>
      </c>
      <c r="H23" s="5">
        <f t="shared" si="6"/>
        <v>-646.01237946894048</v>
      </c>
      <c r="I23" s="1">
        <f t="shared" si="1"/>
        <v>-632.53266015684142</v>
      </c>
    </row>
    <row r="24" spans="1:9" x14ac:dyDescent="0.25">
      <c r="A24" s="12">
        <f t="shared" si="2"/>
        <v>9</v>
      </c>
      <c r="B24" s="13">
        <f t="shared" si="3"/>
        <v>388.90786961125849</v>
      </c>
      <c r="C24" s="13">
        <f t="shared" si="4"/>
        <v>257.10450985768199</v>
      </c>
      <c r="D24" s="13">
        <f t="shared" si="0"/>
        <v>646.01237946894048</v>
      </c>
      <c r="E24" s="13">
        <f t="shared" si="7"/>
        <v>2289.8249297265465</v>
      </c>
      <c r="F24" s="13">
        <f t="shared" si="5"/>
        <v>147710.17507027346</v>
      </c>
      <c r="H24" s="5">
        <f t="shared" si="6"/>
        <v>-646.01237946894048</v>
      </c>
      <c r="I24" s="1">
        <f t="shared" si="1"/>
        <v>-630.86759347432769</v>
      </c>
    </row>
    <row r="25" spans="1:9" x14ac:dyDescent="0.25">
      <c r="A25" s="12">
        <f t="shared" si="2"/>
        <v>10</v>
      </c>
      <c r="B25" s="13">
        <f t="shared" si="3"/>
        <v>388.23211232572936</v>
      </c>
      <c r="C25" s="13">
        <f t="shared" si="4"/>
        <v>257.78026714321112</v>
      </c>
      <c r="D25" s="13">
        <f t="shared" si="0"/>
        <v>646.01237946894048</v>
      </c>
      <c r="E25" s="13">
        <f t="shared" si="7"/>
        <v>2547.6051968697575</v>
      </c>
      <c r="F25" s="13">
        <f t="shared" si="5"/>
        <v>147452.39480313024</v>
      </c>
      <c r="H25" s="5">
        <f t="shared" si="6"/>
        <v>-646.01237946894048</v>
      </c>
      <c r="I25" s="1">
        <f t="shared" si="1"/>
        <v>-629.20690988099159</v>
      </c>
    </row>
    <row r="26" spans="1:9" x14ac:dyDescent="0.25">
      <c r="A26" s="12">
        <f t="shared" si="2"/>
        <v>11</v>
      </c>
      <c r="B26" s="13">
        <f t="shared" si="3"/>
        <v>387.55457892235154</v>
      </c>
      <c r="C26" s="13">
        <f t="shared" si="4"/>
        <v>258.45780054658894</v>
      </c>
      <c r="D26" s="13">
        <f t="shared" si="0"/>
        <v>646.01237946894048</v>
      </c>
      <c r="E26" s="13">
        <f t="shared" si="7"/>
        <v>2806.0629974163467</v>
      </c>
      <c r="F26" s="13">
        <f t="shared" si="5"/>
        <v>147193.93700258364</v>
      </c>
      <c r="H26" s="5">
        <f t="shared" si="6"/>
        <v>-646.01237946894048</v>
      </c>
      <c r="I26" s="1">
        <f t="shared" si="1"/>
        <v>-627.55059783887441</v>
      </c>
    </row>
    <row r="27" spans="1:9" x14ac:dyDescent="0.25">
      <c r="A27" s="12">
        <f t="shared" si="2"/>
        <v>12</v>
      </c>
      <c r="B27" s="13">
        <f t="shared" si="3"/>
        <v>386.8752647328887</v>
      </c>
      <c r="C27" s="13">
        <f t="shared" si="4"/>
        <v>259.13711473605179</v>
      </c>
      <c r="D27" s="13">
        <f t="shared" si="0"/>
        <v>646.01237946894048</v>
      </c>
      <c r="E27" s="13">
        <f t="shared" si="7"/>
        <v>3065.2001121523986</v>
      </c>
      <c r="F27" s="13">
        <f t="shared" si="5"/>
        <v>146934.79988784759</v>
      </c>
      <c r="H27" s="5">
        <f t="shared" si="6"/>
        <v>-646.01237946894048</v>
      </c>
      <c r="I27" s="1">
        <f t="shared" si="1"/>
        <v>-625.89864584038958</v>
      </c>
    </row>
    <row r="28" spans="1:9" x14ac:dyDescent="0.25">
      <c r="A28" s="12">
        <f t="shared" si="2"/>
        <v>13</v>
      </c>
      <c r="B28" s="13">
        <f t="shared" si="3"/>
        <v>386.19416507683519</v>
      </c>
      <c r="C28" s="13">
        <f t="shared" si="4"/>
        <v>259.81821439210529</v>
      </c>
      <c r="D28" s="13">
        <f t="shared" si="0"/>
        <v>646.01237946894048</v>
      </c>
      <c r="E28" s="13">
        <f t="shared" si="7"/>
        <v>3325.0183265445039</v>
      </c>
      <c r="F28" s="13">
        <f t="shared" si="5"/>
        <v>146674.98167345548</v>
      </c>
      <c r="H28" s="5">
        <f t="shared" si="6"/>
        <v>-646.01237946894048</v>
      </c>
      <c r="I28" s="1">
        <f t="shared" si="1"/>
        <v>-624.25104240824294</v>
      </c>
    </row>
    <row r="29" spans="1:9" x14ac:dyDescent="0.25">
      <c r="A29" s="12">
        <f t="shared" si="2"/>
        <v>14</v>
      </c>
      <c r="B29" s="13">
        <f t="shared" si="3"/>
        <v>385.51127526138299</v>
      </c>
      <c r="C29" s="13">
        <f t="shared" si="4"/>
        <v>260.50110420755749</v>
      </c>
      <c r="D29" s="13">
        <f t="shared" si="0"/>
        <v>646.01237946894048</v>
      </c>
      <c r="E29" s="13">
        <f t="shared" si="7"/>
        <v>3585.5194307520615</v>
      </c>
      <c r="F29" s="13">
        <f t="shared" si="5"/>
        <v>146414.48056924791</v>
      </c>
      <c r="H29" s="5">
        <f t="shared" si="6"/>
        <v>-646.01237946894048</v>
      </c>
      <c r="I29" s="1">
        <f t="shared" si="1"/>
        <v>-622.60777609535307</v>
      </c>
    </row>
    <row r="30" spans="1:9" x14ac:dyDescent="0.25">
      <c r="A30" s="12">
        <f t="shared" si="2"/>
        <v>15</v>
      </c>
      <c r="B30" s="13">
        <f t="shared" si="3"/>
        <v>384.82659058139006</v>
      </c>
      <c r="C30" s="13">
        <f t="shared" si="4"/>
        <v>261.18578888755042</v>
      </c>
      <c r="D30" s="13">
        <f t="shared" si="0"/>
        <v>646.01237946894048</v>
      </c>
      <c r="E30" s="13">
        <f t="shared" si="7"/>
        <v>3846.7052196396116</v>
      </c>
      <c r="F30" s="13">
        <f t="shared" si="5"/>
        <v>146153.29478036036</v>
      </c>
      <c r="H30" s="5">
        <f t="shared" si="6"/>
        <v>-646.01237946894048</v>
      </c>
      <c r="I30" s="1">
        <f t="shared" si="1"/>
        <v>-620.96883548477138</v>
      </c>
    </row>
    <row r="31" spans="1:9" x14ac:dyDescent="0.25">
      <c r="A31" s="12">
        <f t="shared" si="2"/>
        <v>16</v>
      </c>
      <c r="B31" s="13">
        <f t="shared" si="3"/>
        <v>384.14010631934764</v>
      </c>
      <c r="C31" s="13">
        <f t="shared" si="4"/>
        <v>261.87227314959284</v>
      </c>
      <c r="D31" s="13">
        <f t="shared" si="0"/>
        <v>646.01237946894048</v>
      </c>
      <c r="E31" s="13">
        <f t="shared" si="7"/>
        <v>4108.5774927892044</v>
      </c>
      <c r="F31" s="13">
        <f t="shared" si="5"/>
        <v>145891.42250721078</v>
      </c>
      <c r="H31" s="5">
        <f t="shared" si="6"/>
        <v>-646.01237946894048</v>
      </c>
      <c r="I31" s="1">
        <f t="shared" si="1"/>
        <v>-619.33420918960326</v>
      </c>
    </row>
    <row r="32" spans="1:9" x14ac:dyDescent="0.25">
      <c r="A32" s="12">
        <f t="shared" si="2"/>
        <v>17</v>
      </c>
      <c r="B32" s="13">
        <f t="shared" si="3"/>
        <v>383.45181774534768</v>
      </c>
      <c r="C32" s="13">
        <f t="shared" si="4"/>
        <v>262.5605617235928</v>
      </c>
      <c r="D32" s="13">
        <f t="shared" si="0"/>
        <v>646.01237946894048</v>
      </c>
      <c r="E32" s="13">
        <f t="shared" si="7"/>
        <v>4371.1380545127968</v>
      </c>
      <c r="F32" s="13">
        <f t="shared" si="5"/>
        <v>145628.86194548718</v>
      </c>
      <c r="H32" s="5">
        <f t="shared" si="6"/>
        <v>-646.01237946894048</v>
      </c>
      <c r="I32" s="1">
        <f t="shared" si="1"/>
        <v>-617.70388585292881</v>
      </c>
    </row>
    <row r="33" spans="1:9" x14ac:dyDescent="0.25">
      <c r="A33" s="12">
        <f t="shared" si="2"/>
        <v>18</v>
      </c>
      <c r="B33" s="13">
        <f t="shared" si="3"/>
        <v>382.76172011705034</v>
      </c>
      <c r="C33" s="13">
        <f t="shared" si="4"/>
        <v>263.25065935189014</v>
      </c>
      <c r="D33" s="13">
        <f t="shared" si="0"/>
        <v>646.01237946894048</v>
      </c>
      <c r="E33" s="13">
        <f t="shared" si="7"/>
        <v>4634.3887138646869</v>
      </c>
      <c r="F33" s="13">
        <f t="shared" si="5"/>
        <v>145365.6112861353</v>
      </c>
      <c r="H33" s="5">
        <f t="shared" si="6"/>
        <v>-646.01237946894048</v>
      </c>
      <c r="I33" s="1">
        <f t="shared" si="1"/>
        <v>-616.07785414772343</v>
      </c>
    </row>
    <row r="34" spans="1:9" x14ac:dyDescent="0.25">
      <c r="A34" s="12">
        <f t="shared" si="2"/>
        <v>19</v>
      </c>
      <c r="B34" s="13">
        <f t="shared" si="3"/>
        <v>382.06980867965137</v>
      </c>
      <c r="C34" s="13">
        <f t="shared" si="4"/>
        <v>263.94257078928911</v>
      </c>
      <c r="D34" s="13">
        <f t="shared" si="0"/>
        <v>646.01237946894048</v>
      </c>
      <c r="E34" s="13">
        <f t="shared" si="7"/>
        <v>4898.3312846539757</v>
      </c>
      <c r="F34" s="13">
        <f t="shared" si="5"/>
        <v>145101.66871534602</v>
      </c>
      <c r="H34" s="5">
        <f t="shared" si="6"/>
        <v>-646.01237946894048</v>
      </c>
      <c r="I34" s="1">
        <f t="shared" si="1"/>
        <v>-614.45610277677997</v>
      </c>
    </row>
    <row r="35" spans="1:9" x14ac:dyDescent="0.25">
      <c r="A35" s="12">
        <f t="shared" si="2"/>
        <v>20</v>
      </c>
      <c r="B35" s="13">
        <f t="shared" si="3"/>
        <v>381.37607866584932</v>
      </c>
      <c r="C35" s="13">
        <f t="shared" si="4"/>
        <v>264.63630080309116</v>
      </c>
      <c r="D35" s="13">
        <f t="shared" si="0"/>
        <v>646.01237946894048</v>
      </c>
      <c r="E35" s="13">
        <f t="shared" si="7"/>
        <v>5162.9675854570669</v>
      </c>
      <c r="F35" s="13">
        <f t="shared" si="5"/>
        <v>144837.03241454292</v>
      </c>
      <c r="H35" s="5">
        <f t="shared" si="6"/>
        <v>-646.01237946894048</v>
      </c>
      <c r="I35" s="1">
        <f t="shared" si="1"/>
        <v>-612.8386204726296</v>
      </c>
    </row>
    <row r="36" spans="1:9" x14ac:dyDescent="0.25">
      <c r="A36" s="12">
        <f t="shared" si="2"/>
        <v>21</v>
      </c>
      <c r="B36" s="13">
        <f t="shared" si="3"/>
        <v>380.68052529581252</v>
      </c>
      <c r="C36" s="13">
        <f t="shared" si="4"/>
        <v>265.33185417312797</v>
      </c>
      <c r="D36" s="13">
        <f t="shared" si="0"/>
        <v>646.01237946894048</v>
      </c>
      <c r="E36" s="13">
        <f t="shared" si="7"/>
        <v>5428.2994396301947</v>
      </c>
      <c r="F36" s="13">
        <f t="shared" si="5"/>
        <v>144571.70056036979</v>
      </c>
      <c r="H36" s="5">
        <f t="shared" si="6"/>
        <v>-646.01237946894048</v>
      </c>
      <c r="I36" s="1">
        <f t="shared" si="1"/>
        <v>-611.22539599746403</v>
      </c>
    </row>
    <row r="37" spans="1:9" x14ac:dyDescent="0.25">
      <c r="A37" s="12">
        <f t="shared" si="2"/>
        <v>22</v>
      </c>
      <c r="B37" s="13">
        <f t="shared" si="3"/>
        <v>379.98314377714649</v>
      </c>
      <c r="C37" s="13">
        <f t="shared" si="4"/>
        <v>266.02923569179399</v>
      </c>
      <c r="D37" s="13">
        <f t="shared" si="0"/>
        <v>646.01237946894048</v>
      </c>
      <c r="E37" s="13">
        <f t="shared" si="7"/>
        <v>5694.3286753219891</v>
      </c>
      <c r="F37" s="13">
        <f t="shared" si="5"/>
        <v>144305.671324678</v>
      </c>
      <c r="H37" s="5">
        <f t="shared" si="6"/>
        <v>-646.01237946894048</v>
      </c>
      <c r="I37" s="1">
        <f t="shared" si="1"/>
        <v>-609.61641814305676</v>
      </c>
    </row>
    <row r="38" spans="1:9" x14ac:dyDescent="0.25">
      <c r="A38" s="12">
        <f t="shared" si="2"/>
        <v>23</v>
      </c>
      <c r="B38" s="13">
        <f t="shared" si="3"/>
        <v>379.28392930486052</v>
      </c>
      <c r="C38" s="13">
        <f t="shared" si="4"/>
        <v>266.72845016407996</v>
      </c>
      <c r="D38" s="13">
        <f t="shared" si="0"/>
        <v>646.01237946894048</v>
      </c>
      <c r="E38" s="13">
        <f t="shared" si="7"/>
        <v>5961.0571254860688</v>
      </c>
      <c r="F38" s="13">
        <f t="shared" si="5"/>
        <v>144038.94287451392</v>
      </c>
      <c r="H38" s="5">
        <f t="shared" si="6"/>
        <v>-646.01237946894048</v>
      </c>
      <c r="I38" s="1">
        <f t="shared" si="1"/>
        <v>-608.01167573068619</v>
      </c>
    </row>
    <row r="39" spans="1:9" x14ac:dyDescent="0.25">
      <c r="A39" s="12">
        <f t="shared" si="2"/>
        <v>24</v>
      </c>
      <c r="B39" s="13">
        <f t="shared" si="3"/>
        <v>378.58287706133495</v>
      </c>
      <c r="C39" s="13">
        <f t="shared" si="4"/>
        <v>267.42950240760553</v>
      </c>
      <c r="D39" s="13">
        <f t="shared" si="0"/>
        <v>646.01237946894048</v>
      </c>
      <c r="E39" s="13">
        <f t="shared" si="7"/>
        <v>6228.4866278936743</v>
      </c>
      <c r="F39" s="13">
        <f t="shared" si="5"/>
        <v>143771.5133721063</v>
      </c>
      <c r="H39" s="5">
        <f t="shared" si="6"/>
        <v>-646.01237946894048</v>
      </c>
      <c r="I39" s="1">
        <f t="shared" si="1"/>
        <v>-606.41115761105664</v>
      </c>
    </row>
    <row r="40" spans="1:9" x14ac:dyDescent="0.25">
      <c r="A40" s="12">
        <f t="shared" si="2"/>
        <v>25</v>
      </c>
      <c r="B40" s="13">
        <f t="shared" si="3"/>
        <v>377.87998221628771</v>
      </c>
      <c r="C40" s="13">
        <f t="shared" si="4"/>
        <v>268.13239725265277</v>
      </c>
      <c r="D40" s="13">
        <f t="shared" si="0"/>
        <v>646.01237946894048</v>
      </c>
      <c r="E40" s="13">
        <f t="shared" si="7"/>
        <v>6496.6190251463267</v>
      </c>
      <c r="F40" s="13">
        <f t="shared" si="5"/>
        <v>143503.38097485364</v>
      </c>
      <c r="H40" s="5">
        <f t="shared" si="6"/>
        <v>-646.01237946894048</v>
      </c>
      <c r="I40" s="1">
        <f t="shared" si="1"/>
        <v>-604.81485266422237</v>
      </c>
    </row>
    <row r="41" spans="1:9" x14ac:dyDescent="0.25">
      <c r="A41" s="12">
        <f t="shared" si="2"/>
        <v>26</v>
      </c>
      <c r="B41" s="13">
        <f t="shared" si="3"/>
        <v>377.17523992674103</v>
      </c>
      <c r="C41" s="13">
        <f t="shared" si="4"/>
        <v>268.83713954219945</v>
      </c>
      <c r="D41" s="13">
        <f t="shared" si="0"/>
        <v>646.01237946894048</v>
      </c>
      <c r="E41" s="13">
        <f t="shared" si="7"/>
        <v>6765.4561646885259</v>
      </c>
      <c r="F41" s="13">
        <f t="shared" si="5"/>
        <v>143234.54383531146</v>
      </c>
      <c r="H41" s="5">
        <f t="shared" si="6"/>
        <v>-646.01237946894048</v>
      </c>
      <c r="I41" s="1">
        <f t="shared" si="1"/>
        <v>-603.22274979950873</v>
      </c>
    </row>
    <row r="42" spans="1:9" x14ac:dyDescent="0.25">
      <c r="A42" s="12">
        <f t="shared" si="2"/>
        <v>27</v>
      </c>
      <c r="B42" s="13">
        <f t="shared" si="3"/>
        <v>376.4686453369884</v>
      </c>
      <c r="C42" s="13">
        <f t="shared" si="4"/>
        <v>269.54373413195208</v>
      </c>
      <c r="D42" s="13">
        <f t="shared" si="0"/>
        <v>646.01237946894048</v>
      </c>
      <c r="E42" s="13">
        <f t="shared" si="7"/>
        <v>7034.9998988204779</v>
      </c>
      <c r="F42" s="13">
        <f t="shared" si="5"/>
        <v>142965.0001011795</v>
      </c>
      <c r="H42" s="5">
        <f t="shared" si="6"/>
        <v>-646.01237946894048</v>
      </c>
      <c r="I42" s="1">
        <f t="shared" si="1"/>
        <v>-601.63483795543664</v>
      </c>
    </row>
    <row r="43" spans="1:9" x14ac:dyDescent="0.25">
      <c r="A43" s="12">
        <f t="shared" si="2"/>
        <v>28</v>
      </c>
      <c r="B43" s="13">
        <f t="shared" si="3"/>
        <v>375.76019357856057</v>
      </c>
      <c r="C43" s="13">
        <f t="shared" si="4"/>
        <v>270.25218589037991</v>
      </c>
      <c r="D43" s="13">
        <f t="shared" si="0"/>
        <v>646.01237946894048</v>
      </c>
      <c r="E43" s="13">
        <f t="shared" si="7"/>
        <v>7305.2520847108581</v>
      </c>
      <c r="F43" s="13">
        <f t="shared" si="5"/>
        <v>142694.7479152891</v>
      </c>
      <c r="H43" s="5">
        <f t="shared" si="6"/>
        <v>-646.01237946894048</v>
      </c>
      <c r="I43" s="1">
        <f t="shared" si="1"/>
        <v>-600.05110609964493</v>
      </c>
    </row>
    <row r="44" spans="1:9" x14ac:dyDescent="0.25">
      <c r="A44" s="12">
        <f t="shared" si="2"/>
        <v>29</v>
      </c>
      <c r="B44" s="13">
        <f t="shared" si="3"/>
        <v>375.04987977019255</v>
      </c>
      <c r="C44" s="13">
        <f t="shared" si="4"/>
        <v>270.96249969874793</v>
      </c>
      <c r="D44" s="13">
        <f t="shared" si="0"/>
        <v>646.01237946894048</v>
      </c>
      <c r="E44" s="13">
        <f t="shared" si="7"/>
        <v>7576.2145844096058</v>
      </c>
      <c r="F44" s="13">
        <f t="shared" si="5"/>
        <v>142423.78541559036</v>
      </c>
      <c r="H44" s="5">
        <f t="shared" si="6"/>
        <v>-646.01237946894048</v>
      </c>
      <c r="I44" s="1">
        <f t="shared" si="1"/>
        <v>-598.47154322881352</v>
      </c>
    </row>
    <row r="45" spans="1:9" x14ac:dyDescent="0.25">
      <c r="A45" s="12">
        <f t="shared" si="2"/>
        <v>30</v>
      </c>
      <c r="B45" s="13">
        <f t="shared" si="3"/>
        <v>374.3376990177897</v>
      </c>
      <c r="C45" s="13">
        <f t="shared" si="4"/>
        <v>271.67468045115078</v>
      </c>
      <c r="D45" s="13">
        <f t="shared" si="0"/>
        <v>646.01237946894048</v>
      </c>
      <c r="E45" s="13">
        <f t="shared" si="7"/>
        <v>7847.8892648607562</v>
      </c>
      <c r="F45" s="13">
        <f t="shared" si="5"/>
        <v>142152.1107351392</v>
      </c>
      <c r="H45" s="5">
        <f t="shared" si="6"/>
        <v>-646.01237946894048</v>
      </c>
      <c r="I45" s="1">
        <f t="shared" si="1"/>
        <v>-596.89613836858734</v>
      </c>
    </row>
    <row r="46" spans="1:9" x14ac:dyDescent="0.25">
      <c r="A46" s="12">
        <f t="shared" si="2"/>
        <v>31</v>
      </c>
      <c r="B46" s="13">
        <f t="shared" si="3"/>
        <v>373.62364641439399</v>
      </c>
      <c r="C46" s="13">
        <f t="shared" si="4"/>
        <v>272.38873305454649</v>
      </c>
      <c r="D46" s="13">
        <f t="shared" si="0"/>
        <v>646.01237946894048</v>
      </c>
      <c r="E46" s="13">
        <f t="shared" si="7"/>
        <v>8120.2779979153029</v>
      </c>
      <c r="F46" s="13">
        <f t="shared" si="5"/>
        <v>141879.72200208466</v>
      </c>
      <c r="H46" s="5">
        <f t="shared" si="6"/>
        <v>-646.01237946894048</v>
      </c>
      <c r="I46" s="1">
        <f t="shared" si="1"/>
        <v>-595.32488057350042</v>
      </c>
    </row>
    <row r="47" spans="1:9" x14ac:dyDescent="0.25">
      <c r="A47" s="12">
        <f t="shared" si="2"/>
        <v>32</v>
      </c>
      <c r="B47" s="13">
        <f t="shared" si="3"/>
        <v>372.9077170401502</v>
      </c>
      <c r="C47" s="13">
        <f t="shared" si="4"/>
        <v>273.10466242879028</v>
      </c>
      <c r="D47" s="13">
        <f t="shared" si="0"/>
        <v>646.01237946894048</v>
      </c>
      <c r="E47" s="13">
        <f t="shared" si="7"/>
        <v>8393.3826603440939</v>
      </c>
      <c r="F47" s="13">
        <f t="shared" si="5"/>
        <v>141606.61733965587</v>
      </c>
      <c r="H47" s="5">
        <f t="shared" si="6"/>
        <v>-646.01237946894048</v>
      </c>
      <c r="I47" s="1">
        <f t="shared" si="1"/>
        <v>-593.75775892689865</v>
      </c>
    </row>
    <row r="48" spans="1:9" x14ac:dyDescent="0.25">
      <c r="A48" s="12">
        <f t="shared" si="2"/>
        <v>33</v>
      </c>
      <c r="B48" s="13">
        <f t="shared" si="3"/>
        <v>372.18990596227229</v>
      </c>
      <c r="C48" s="13">
        <f t="shared" si="4"/>
        <v>273.82247350666819</v>
      </c>
      <c r="D48" s="13">
        <f t="shared" si="0"/>
        <v>646.01237946894048</v>
      </c>
      <c r="E48" s="13">
        <f t="shared" si="7"/>
        <v>8667.2051338507626</v>
      </c>
      <c r="F48" s="13">
        <f t="shared" si="5"/>
        <v>141332.7948661492</v>
      </c>
      <c r="H48" s="5">
        <f t="shared" si="6"/>
        <v>-646.01237946894048</v>
      </c>
      <c r="I48" s="1">
        <f t="shared" si="1"/>
        <v>-592.19476254086533</v>
      </c>
    </row>
    <row r="49" spans="1:9" x14ac:dyDescent="0.25">
      <c r="A49" s="12">
        <f t="shared" si="2"/>
        <v>34</v>
      </c>
      <c r="B49" s="13">
        <f t="shared" si="3"/>
        <v>371.4702082350089</v>
      </c>
      <c r="C49" s="13">
        <f t="shared" si="4"/>
        <v>274.54217123393158</v>
      </c>
      <c r="D49" s="13">
        <f t="shared" si="0"/>
        <v>646.01237946894048</v>
      </c>
      <c r="E49" s="13">
        <f t="shared" si="7"/>
        <v>8941.7473050846947</v>
      </c>
      <c r="F49" s="13">
        <f t="shared" si="5"/>
        <v>141058.25269491525</v>
      </c>
      <c r="H49" s="5">
        <f t="shared" si="6"/>
        <v>-646.01237946894048</v>
      </c>
      <c r="I49" s="1">
        <f t="shared" si="1"/>
        <v>-590.63588055614468</v>
      </c>
    </row>
    <row r="50" spans="1:9" x14ac:dyDescent="0.25">
      <c r="A50" s="12">
        <f t="shared" si="2"/>
        <v>35</v>
      </c>
      <c r="B50" s="13">
        <f t="shared" si="3"/>
        <v>370.74861889960977</v>
      </c>
      <c r="C50" s="13">
        <f t="shared" si="4"/>
        <v>275.26376056933071</v>
      </c>
      <c r="D50" s="13">
        <f t="shared" si="0"/>
        <v>646.01237946894048</v>
      </c>
      <c r="E50" s="13">
        <f t="shared" si="7"/>
        <v>9217.0110656540255</v>
      </c>
      <c r="F50" s="13">
        <f t="shared" si="5"/>
        <v>140782.98893434592</v>
      </c>
      <c r="H50" s="5">
        <f t="shared" si="6"/>
        <v>-646.01237946894048</v>
      </c>
      <c r="I50" s="1">
        <f t="shared" si="1"/>
        <v>-589.08110214206681</v>
      </c>
    </row>
    <row r="51" spans="1:9" x14ac:dyDescent="0.25">
      <c r="A51" s="12">
        <f t="shared" si="2"/>
        <v>36</v>
      </c>
      <c r="B51" s="13">
        <f t="shared" si="3"/>
        <v>370.02513298429142</v>
      </c>
      <c r="C51" s="13">
        <f t="shared" si="4"/>
        <v>275.98724648464906</v>
      </c>
      <c r="D51" s="13">
        <f t="shared" si="0"/>
        <v>646.01237946894048</v>
      </c>
      <c r="E51" s="13">
        <f t="shared" si="7"/>
        <v>9492.998312138674</v>
      </c>
      <c r="F51" s="13">
        <f t="shared" si="5"/>
        <v>140507.00168786128</v>
      </c>
      <c r="H51" s="5">
        <f t="shared" si="6"/>
        <v>-646.01237946894048</v>
      </c>
      <c r="I51" s="1">
        <f t="shared" si="1"/>
        <v>-587.53041649647184</v>
      </c>
    </row>
    <row r="52" spans="1:9" x14ac:dyDescent="0.25">
      <c r="A52" s="12">
        <f t="shared" si="2"/>
        <v>37</v>
      </c>
      <c r="B52" s="13">
        <f t="shared" si="3"/>
        <v>369.29974550420263</v>
      </c>
      <c r="C52" s="13">
        <f t="shared" si="4"/>
        <v>276.71263396473785</v>
      </c>
      <c r="D52" s="13">
        <f t="shared" si="0"/>
        <v>646.01237946894048</v>
      </c>
      <c r="E52" s="13">
        <f t="shared" si="7"/>
        <v>9769.7109461034124</v>
      </c>
      <c r="F52" s="13">
        <f t="shared" si="5"/>
        <v>140230.28905389653</v>
      </c>
      <c r="H52" s="5">
        <f t="shared" si="6"/>
        <v>-646.01237946894048</v>
      </c>
      <c r="I52" s="1">
        <f t="shared" si="1"/>
        <v>-585.98381284563573</v>
      </c>
    </row>
    <row r="53" spans="1:9" x14ac:dyDescent="0.25">
      <c r="A53" s="12">
        <f t="shared" si="2"/>
        <v>38</v>
      </c>
      <c r="B53" s="13">
        <f t="shared" si="3"/>
        <v>368.57245146139047</v>
      </c>
      <c r="C53" s="13">
        <f t="shared" si="4"/>
        <v>277.43992800755001</v>
      </c>
      <c r="D53" s="13">
        <f t="shared" si="0"/>
        <v>646.01237946894048</v>
      </c>
      <c r="E53" s="13">
        <f t="shared" si="7"/>
        <v>10047.150874110963</v>
      </c>
      <c r="F53" s="13">
        <f t="shared" si="5"/>
        <v>139952.84912588898</v>
      </c>
      <c r="H53" s="5">
        <f t="shared" si="6"/>
        <v>-646.01237946894048</v>
      </c>
      <c r="I53" s="1">
        <f t="shared" si="1"/>
        <v>-584.44128044419483</v>
      </c>
    </row>
    <row r="54" spans="1:9" x14ac:dyDescent="0.25">
      <c r="A54" s="12">
        <f t="shared" si="2"/>
        <v>39</v>
      </c>
      <c r="B54" s="13">
        <f t="shared" si="3"/>
        <v>367.84324584476576</v>
      </c>
      <c r="C54" s="13">
        <f t="shared" si="4"/>
        <v>278.16913362417472</v>
      </c>
      <c r="D54" s="13">
        <f t="shared" si="0"/>
        <v>646.01237946894048</v>
      </c>
      <c r="E54" s="13">
        <f t="shared" si="7"/>
        <v>10325.320007735138</v>
      </c>
      <c r="F54" s="13">
        <f t="shared" si="5"/>
        <v>139674.67999226481</v>
      </c>
      <c r="H54" s="5">
        <f t="shared" si="6"/>
        <v>-646.01237946894048</v>
      </c>
      <c r="I54" s="1">
        <f t="shared" si="1"/>
        <v>-582.90280857507116</v>
      </c>
    </row>
    <row r="55" spans="1:9" x14ac:dyDescent="0.25">
      <c r="A55" s="12">
        <f t="shared" si="2"/>
        <v>40</v>
      </c>
      <c r="B55" s="13">
        <f t="shared" si="3"/>
        <v>367.11212363006825</v>
      </c>
      <c r="C55" s="13">
        <f t="shared" si="4"/>
        <v>278.90025583887223</v>
      </c>
      <c r="D55" s="13">
        <f t="shared" si="0"/>
        <v>646.01237946894048</v>
      </c>
      <c r="E55" s="13">
        <f t="shared" si="7"/>
        <v>10604.22026357401</v>
      </c>
      <c r="F55" s="13">
        <f t="shared" si="5"/>
        <v>139395.77973642593</v>
      </c>
      <c r="H55" s="5">
        <f t="shared" si="6"/>
        <v>-646.01237946894048</v>
      </c>
      <c r="I55" s="1">
        <f t="shared" si="1"/>
        <v>-581.36838654939845</v>
      </c>
    </row>
    <row r="56" spans="1:9" x14ac:dyDescent="0.25">
      <c r="A56" s="12">
        <f t="shared" si="2"/>
        <v>41</v>
      </c>
      <c r="B56" s="13">
        <f t="shared" si="3"/>
        <v>366.37907977983247</v>
      </c>
      <c r="C56" s="13">
        <f t="shared" si="4"/>
        <v>279.63329968910801</v>
      </c>
      <c r="D56" s="13">
        <f t="shared" si="0"/>
        <v>646.01237946894048</v>
      </c>
      <c r="E56" s="13">
        <f t="shared" si="7"/>
        <v>10883.853563263119</v>
      </c>
      <c r="F56" s="13">
        <f t="shared" si="5"/>
        <v>139116.14643673683</v>
      </c>
      <c r="H56" s="5">
        <f t="shared" si="6"/>
        <v>-646.01237946894048</v>
      </c>
      <c r="I56" s="1">
        <f t="shared" si="1"/>
        <v>-579.83800370644758</v>
      </c>
    </row>
    <row r="57" spans="1:9" x14ac:dyDescent="0.25">
      <c r="A57" s="12">
        <f t="shared" si="2"/>
        <v>42</v>
      </c>
      <c r="B57" s="13">
        <f t="shared" si="3"/>
        <v>365.64410924335277</v>
      </c>
      <c r="C57" s="13">
        <f t="shared" si="4"/>
        <v>280.36827022558771</v>
      </c>
      <c r="D57" s="13">
        <f t="shared" si="0"/>
        <v>646.01237946894048</v>
      </c>
      <c r="E57" s="13">
        <f t="shared" si="7"/>
        <v>11164.221833488707</v>
      </c>
      <c r="F57" s="13">
        <f t="shared" si="5"/>
        <v>138835.77816651124</v>
      </c>
      <c r="H57" s="5">
        <f t="shared" si="6"/>
        <v>-646.01237946894048</v>
      </c>
      <c r="I57" s="1">
        <f t="shared" si="1"/>
        <v>-578.31164941355235</v>
      </c>
    </row>
    <row r="58" spans="1:9" x14ac:dyDescent="0.25">
      <c r="A58" s="12">
        <f t="shared" si="2"/>
        <v>43</v>
      </c>
      <c r="B58" s="13">
        <f t="shared" si="3"/>
        <v>364.90720695664834</v>
      </c>
      <c r="C58" s="13">
        <f t="shared" si="4"/>
        <v>281.10517251229214</v>
      </c>
      <c r="D58" s="13">
        <f t="shared" si="0"/>
        <v>646.01237946894048</v>
      </c>
      <c r="E58" s="13">
        <f t="shared" si="7"/>
        <v>11445.327006001</v>
      </c>
      <c r="F58" s="13">
        <f t="shared" si="5"/>
        <v>138554.67299399895</v>
      </c>
      <c r="H58" s="5">
        <f t="shared" si="6"/>
        <v>-646.01237946894048</v>
      </c>
      <c r="I58" s="1">
        <f t="shared" si="1"/>
        <v>-576.7893130660359</v>
      </c>
    </row>
    <row r="59" spans="1:9" x14ac:dyDescent="0.25">
      <c r="A59" s="12">
        <f t="shared" si="2"/>
        <v>44</v>
      </c>
      <c r="B59" s="13">
        <f t="shared" si="3"/>
        <v>364.16836784242878</v>
      </c>
      <c r="C59" s="13">
        <f t="shared" si="4"/>
        <v>281.8440116265117</v>
      </c>
      <c r="D59" s="13">
        <f t="shared" si="0"/>
        <v>646.01237946894048</v>
      </c>
      <c r="E59" s="13">
        <f t="shared" si="7"/>
        <v>11727.171017627512</v>
      </c>
      <c r="F59" s="13">
        <f t="shared" si="5"/>
        <v>138272.82898237245</v>
      </c>
      <c r="H59" s="5">
        <f t="shared" si="6"/>
        <v>-646.01237946894048</v>
      </c>
      <c r="I59" s="1">
        <f t="shared" si="1"/>
        <v>-575.27098408713698</v>
      </c>
    </row>
    <row r="60" spans="1:9" x14ac:dyDescent="0.25">
      <c r="A60" s="12">
        <f t="shared" si="2"/>
        <v>45</v>
      </c>
      <c r="B60" s="13">
        <f t="shared" si="3"/>
        <v>363.42758681005876</v>
      </c>
      <c r="C60" s="13">
        <f t="shared" si="4"/>
        <v>282.58479265888172</v>
      </c>
      <c r="D60" s="13">
        <f t="shared" si="0"/>
        <v>646.01237946894048</v>
      </c>
      <c r="E60" s="13">
        <f t="shared" si="7"/>
        <v>12009.755810286393</v>
      </c>
      <c r="F60" s="13">
        <f t="shared" si="5"/>
        <v>137990.24418971356</v>
      </c>
      <c r="H60" s="5">
        <f t="shared" si="6"/>
        <v>-646.01237946894048</v>
      </c>
      <c r="I60" s="1">
        <f t="shared" si="1"/>
        <v>-573.7566519279361</v>
      </c>
    </row>
    <row r="61" spans="1:9" x14ac:dyDescent="0.25">
      <c r="A61" s="12">
        <f t="shared" si="2"/>
        <v>46</v>
      </c>
      <c r="B61" s="13">
        <f t="shared" si="3"/>
        <v>362.68485875552295</v>
      </c>
      <c r="C61" s="13">
        <f t="shared" si="4"/>
        <v>283.32752071341753</v>
      </c>
      <c r="D61" s="13">
        <f t="shared" si="0"/>
        <v>646.01237946894048</v>
      </c>
      <c r="E61" s="13">
        <f t="shared" si="7"/>
        <v>12293.083330999811</v>
      </c>
      <c r="F61" s="13">
        <f t="shared" si="5"/>
        <v>137706.91666900014</v>
      </c>
      <c r="H61" s="5">
        <f t="shared" si="6"/>
        <v>-646.01237946894048</v>
      </c>
      <c r="I61" s="1">
        <f t="shared" si="1"/>
        <v>-572.24630606728306</v>
      </c>
    </row>
    <row r="62" spans="1:9" x14ac:dyDescent="0.25">
      <c r="A62" s="12">
        <f t="shared" si="2"/>
        <v>47</v>
      </c>
      <c r="B62" s="13">
        <f t="shared" si="3"/>
        <v>361.94017856139112</v>
      </c>
      <c r="C62" s="13">
        <f t="shared" si="4"/>
        <v>284.07220090754936</v>
      </c>
      <c r="D62" s="13">
        <f t="shared" si="0"/>
        <v>646.01237946894048</v>
      </c>
      <c r="E62" s="13">
        <f t="shared" si="7"/>
        <v>12577.15553190736</v>
      </c>
      <c r="F62" s="13">
        <f t="shared" si="5"/>
        <v>137422.8444680926</v>
      </c>
      <c r="H62" s="5">
        <f t="shared" si="6"/>
        <v>-646.01237946894048</v>
      </c>
      <c r="I62" s="1">
        <f t="shared" si="1"/>
        <v>-570.73993601172276</v>
      </c>
    </row>
    <row r="63" spans="1:9" x14ac:dyDescent="0.25">
      <c r="A63" s="12">
        <f t="shared" si="2"/>
        <v>48</v>
      </c>
      <c r="B63" s="13">
        <f t="shared" si="3"/>
        <v>361.19354109678255</v>
      </c>
      <c r="C63" s="13">
        <f t="shared" si="4"/>
        <v>284.81883837215793</v>
      </c>
      <c r="D63" s="13">
        <f t="shared" si="0"/>
        <v>646.01237946894048</v>
      </c>
      <c r="E63" s="13">
        <f t="shared" si="7"/>
        <v>12861.974370279517</v>
      </c>
      <c r="F63" s="13">
        <f t="shared" si="5"/>
        <v>137138.02562972045</v>
      </c>
      <c r="H63" s="5">
        <f t="shared" si="6"/>
        <v>-646.01237946894048</v>
      </c>
      <c r="I63" s="1">
        <f t="shared" si="1"/>
        <v>-569.23753129542331</v>
      </c>
    </row>
    <row r="64" spans="1:9" x14ac:dyDescent="0.25">
      <c r="A64" s="12">
        <f t="shared" si="2"/>
        <v>49</v>
      </c>
      <c r="B64" s="13">
        <f t="shared" si="3"/>
        <v>360.44494121733095</v>
      </c>
      <c r="C64" s="13">
        <f t="shared" si="4"/>
        <v>285.56743825160953</v>
      </c>
      <c r="D64" s="13">
        <f t="shared" si="0"/>
        <v>646.01237946894048</v>
      </c>
      <c r="E64" s="13">
        <f t="shared" si="7"/>
        <v>13147.541808531127</v>
      </c>
      <c r="F64" s="13">
        <f t="shared" si="5"/>
        <v>136852.45819146885</v>
      </c>
      <c r="H64" s="5">
        <f t="shared" si="6"/>
        <v>-646.01237946894048</v>
      </c>
      <c r="I64" s="1">
        <f t="shared" si="1"/>
        <v>-567.73908148010264</v>
      </c>
    </row>
    <row r="65" spans="1:9" x14ac:dyDescent="0.25">
      <c r="A65" s="12">
        <f t="shared" si="2"/>
        <v>50</v>
      </c>
      <c r="B65" s="13">
        <f t="shared" si="3"/>
        <v>359.69437376514884</v>
      </c>
      <c r="C65" s="13">
        <f t="shared" si="4"/>
        <v>286.31800570379164</v>
      </c>
      <c r="D65" s="13">
        <f t="shared" si="0"/>
        <v>646.01237946894048</v>
      </c>
      <c r="E65" s="13">
        <f t="shared" si="7"/>
        <v>13433.859814234918</v>
      </c>
      <c r="F65" s="13">
        <f t="shared" si="5"/>
        <v>136566.14018576505</v>
      </c>
      <c r="H65" s="5">
        <f t="shared" si="6"/>
        <v>-646.01237946894048</v>
      </c>
      <c r="I65" s="1">
        <f t="shared" si="1"/>
        <v>-566.24457615495612</v>
      </c>
    </row>
    <row r="66" spans="1:9" x14ac:dyDescent="0.25">
      <c r="A66" s="12">
        <f t="shared" si="2"/>
        <v>51</v>
      </c>
      <c r="B66" s="13">
        <f t="shared" si="3"/>
        <v>358.94183356879211</v>
      </c>
      <c r="C66" s="13">
        <f t="shared" si="4"/>
        <v>287.07054590014837</v>
      </c>
      <c r="D66" s="13">
        <f t="shared" si="0"/>
        <v>646.01237946894048</v>
      </c>
      <c r="E66" s="13">
        <f t="shared" si="7"/>
        <v>13720.930360135068</v>
      </c>
      <c r="F66" s="13">
        <f t="shared" si="5"/>
        <v>136279.0696398649</v>
      </c>
      <c r="H66" s="5">
        <f t="shared" si="6"/>
        <v>-646.01237946894048</v>
      </c>
      <c r="I66" s="1">
        <f t="shared" si="1"/>
        <v>-564.75400493658481</v>
      </c>
    </row>
    <row r="67" spans="1:9" x14ac:dyDescent="0.25">
      <c r="A67" s="12">
        <f t="shared" si="2"/>
        <v>52</v>
      </c>
      <c r="B67" s="13">
        <f t="shared" si="3"/>
        <v>358.18731544322429</v>
      </c>
      <c r="C67" s="13">
        <f t="shared" si="4"/>
        <v>287.82506402571619</v>
      </c>
      <c r="D67" s="13">
        <f t="shared" si="0"/>
        <v>646.01237946894048</v>
      </c>
      <c r="E67" s="13">
        <f t="shared" si="7"/>
        <v>14008.755424160783</v>
      </c>
      <c r="F67" s="13">
        <f t="shared" si="5"/>
        <v>135991.2445758392</v>
      </c>
      <c r="H67" s="5">
        <f t="shared" si="6"/>
        <v>-646.01237946894048</v>
      </c>
      <c r="I67" s="1">
        <f t="shared" si="1"/>
        <v>-563.26735746892211</v>
      </c>
    </row>
    <row r="68" spans="1:9" x14ac:dyDescent="0.25">
      <c r="A68" s="12">
        <f t="shared" si="2"/>
        <v>53</v>
      </c>
      <c r="B68" s="13">
        <f t="shared" si="3"/>
        <v>357.43081418978102</v>
      </c>
      <c r="C68" s="13">
        <f t="shared" si="4"/>
        <v>288.58156527915946</v>
      </c>
      <c r="D68" s="13">
        <f t="shared" si="0"/>
        <v>646.01237946894048</v>
      </c>
      <c r="E68" s="13">
        <f t="shared" si="7"/>
        <v>14297.336989439942</v>
      </c>
      <c r="F68" s="13">
        <f t="shared" si="5"/>
        <v>135702.66301056003</v>
      </c>
      <c r="H68" s="5">
        <f t="shared" si="6"/>
        <v>-646.01237946894048</v>
      </c>
      <c r="I68" s="1">
        <f t="shared" si="1"/>
        <v>-561.78462342316311</v>
      </c>
    </row>
    <row r="69" spans="1:9" x14ac:dyDescent="0.25">
      <c r="A69" s="12">
        <f t="shared" si="2"/>
        <v>54</v>
      </c>
      <c r="B69" s="13">
        <f t="shared" si="3"/>
        <v>356.67232459613393</v>
      </c>
      <c r="C69" s="13">
        <f t="shared" si="4"/>
        <v>289.34005487280655</v>
      </c>
      <c r="D69" s="13">
        <f t="shared" si="0"/>
        <v>646.01237946894048</v>
      </c>
      <c r="E69" s="13">
        <f t="shared" si="7"/>
        <v>14586.677044312748</v>
      </c>
      <c r="F69" s="13">
        <f t="shared" si="5"/>
        <v>135413.32295568724</v>
      </c>
      <c r="H69" s="5">
        <f t="shared" si="6"/>
        <v>-646.01237946894048</v>
      </c>
      <c r="I69" s="1">
        <f t="shared" si="1"/>
        <v>-560.30579249769221</v>
      </c>
    </row>
    <row r="70" spans="1:9" x14ac:dyDescent="0.25">
      <c r="A70" s="12">
        <f t="shared" si="2"/>
        <v>55</v>
      </c>
      <c r="B70" s="13">
        <f t="shared" si="3"/>
        <v>355.91184143625503</v>
      </c>
      <c r="C70" s="13">
        <f t="shared" si="4"/>
        <v>290.10053803268545</v>
      </c>
      <c r="D70" s="13">
        <f t="shared" si="0"/>
        <v>646.01237946894048</v>
      </c>
      <c r="E70" s="13">
        <f t="shared" si="7"/>
        <v>14876.777582345434</v>
      </c>
      <c r="F70" s="13">
        <f t="shared" si="5"/>
        <v>135123.22241765456</v>
      </c>
      <c r="H70" s="5">
        <f t="shared" si="6"/>
        <v>-646.01237946894048</v>
      </c>
      <c r="I70" s="1">
        <f t="shared" si="1"/>
        <v>-558.83085441801097</v>
      </c>
    </row>
    <row r="71" spans="1:9" x14ac:dyDescent="0.25">
      <c r="A71" s="12">
        <f t="shared" si="2"/>
        <v>56</v>
      </c>
      <c r="B71" s="13">
        <f t="shared" si="3"/>
        <v>355.14935947038043</v>
      </c>
      <c r="C71" s="13">
        <f t="shared" si="4"/>
        <v>290.86301999856005</v>
      </c>
      <c r="D71" s="13">
        <f t="shared" si="0"/>
        <v>646.01237946894048</v>
      </c>
      <c r="E71" s="13">
        <f t="shared" si="7"/>
        <v>15167.640602343994</v>
      </c>
      <c r="F71" s="13">
        <f t="shared" si="5"/>
        <v>134832.35939765599</v>
      </c>
      <c r="H71" s="5">
        <f t="shared" si="6"/>
        <v>-646.01237946894048</v>
      </c>
      <c r="I71" s="1">
        <f t="shared" si="1"/>
        <v>-557.35979893666831</v>
      </c>
    </row>
    <row r="72" spans="1:9" x14ac:dyDescent="0.25">
      <c r="A72" s="12">
        <f t="shared" si="2"/>
        <v>57</v>
      </c>
      <c r="B72" s="13">
        <f t="shared" si="3"/>
        <v>354.38487344497452</v>
      </c>
      <c r="C72" s="13">
        <f t="shared" si="4"/>
        <v>291.62750602396596</v>
      </c>
      <c r="D72" s="13">
        <f t="shared" si="0"/>
        <v>646.01237946894048</v>
      </c>
      <c r="E72" s="13">
        <f t="shared" si="7"/>
        <v>15459.26810836796</v>
      </c>
      <c r="F72" s="13">
        <f t="shared" si="5"/>
        <v>134540.73189163202</v>
      </c>
      <c r="H72" s="5">
        <f t="shared" si="6"/>
        <v>-646.01237946894048</v>
      </c>
      <c r="I72" s="1">
        <f t="shared" si="1"/>
        <v>-555.89261583318739</v>
      </c>
    </row>
    <row r="73" spans="1:9" x14ac:dyDescent="0.25">
      <c r="A73" s="12">
        <f t="shared" si="2"/>
        <v>58</v>
      </c>
      <c r="B73" s="13">
        <f t="shared" si="3"/>
        <v>353.6183780926936</v>
      </c>
      <c r="C73" s="13">
        <f t="shared" si="4"/>
        <v>292.39400137624688</v>
      </c>
      <c r="D73" s="13">
        <f t="shared" si="0"/>
        <v>646.01237946894048</v>
      </c>
      <c r="E73" s="13">
        <f t="shared" si="7"/>
        <v>15751.662109744208</v>
      </c>
      <c r="F73" s="13">
        <f t="shared" si="5"/>
        <v>134248.33789025579</v>
      </c>
      <c r="H73" s="5">
        <f t="shared" si="6"/>
        <v>-646.01237946894048</v>
      </c>
      <c r="I73" s="1">
        <f t="shared" si="1"/>
        <v>-554.42929491399605</v>
      </c>
    </row>
    <row r="74" spans="1:9" x14ac:dyDescent="0.25">
      <c r="A74" s="12">
        <f t="shared" si="2"/>
        <v>59</v>
      </c>
      <c r="B74" s="13">
        <f t="shared" si="3"/>
        <v>352.84986813234957</v>
      </c>
      <c r="C74" s="13">
        <f t="shared" si="4"/>
        <v>293.16251133659091</v>
      </c>
      <c r="D74" s="13">
        <f t="shared" si="0"/>
        <v>646.01237946894048</v>
      </c>
      <c r="E74" s="13">
        <f t="shared" si="7"/>
        <v>16044.824621080799</v>
      </c>
      <c r="F74" s="13">
        <f t="shared" si="5"/>
        <v>133955.1753789192</v>
      </c>
      <c r="H74" s="5">
        <f t="shared" si="6"/>
        <v>-646.01237946894048</v>
      </c>
      <c r="I74" s="1">
        <f t="shared" si="1"/>
        <v>-552.96982601235561</v>
      </c>
    </row>
    <row r="75" spans="1:9" x14ac:dyDescent="0.25">
      <c r="A75" s="12">
        <f t="shared" si="2"/>
        <v>60</v>
      </c>
      <c r="B75" s="13">
        <f t="shared" si="3"/>
        <v>352.07933826887353</v>
      </c>
      <c r="C75" s="13">
        <f t="shared" si="4"/>
        <v>293.93304120006695</v>
      </c>
      <c r="D75" s="13">
        <f t="shared" si="0"/>
        <v>646.01237946894048</v>
      </c>
      <c r="E75" s="13">
        <f t="shared" si="7"/>
        <v>16338.757662280866</v>
      </c>
      <c r="F75" s="13">
        <f t="shared" si="5"/>
        <v>133661.24233771913</v>
      </c>
      <c r="H75" s="5">
        <f t="shared" si="6"/>
        <v>-646.01237946894048</v>
      </c>
      <c r="I75" s="1">
        <f t="shared" si="1"/>
        <v>-551.51419898828976</v>
      </c>
    </row>
    <row r="76" spans="1:9" x14ac:dyDescent="0.25">
      <c r="A76" s="12">
        <f t="shared" si="2"/>
        <v>61</v>
      </c>
      <c r="B76" s="13">
        <f t="shared" si="3"/>
        <v>351.30678319327944</v>
      </c>
      <c r="C76" s="13">
        <f t="shared" si="4"/>
        <v>294.70559627566104</v>
      </c>
      <c r="D76" s="13">
        <f t="shared" si="0"/>
        <v>646.01237946894048</v>
      </c>
      <c r="E76" s="13">
        <f t="shared" si="7"/>
        <v>16633.463258556527</v>
      </c>
      <c r="F76" s="13">
        <f t="shared" si="5"/>
        <v>133366.53674144347</v>
      </c>
      <c r="H76" s="5">
        <f t="shared" si="6"/>
        <v>-646.01237946894048</v>
      </c>
      <c r="I76" s="1">
        <f t="shared" si="1"/>
        <v>-550.06240372851471</v>
      </c>
    </row>
    <row r="77" spans="1:9" x14ac:dyDescent="0.25">
      <c r="A77" s="12">
        <f t="shared" si="2"/>
        <v>62</v>
      </c>
      <c r="B77" s="13">
        <f t="shared" si="3"/>
        <v>350.53219758262748</v>
      </c>
      <c r="C77" s="13">
        <f t="shared" si="4"/>
        <v>295.48018188631301</v>
      </c>
      <c r="D77" s="13">
        <f t="shared" si="0"/>
        <v>646.01237946894048</v>
      </c>
      <c r="E77" s="13">
        <f t="shared" si="7"/>
        <v>16928.943440442839</v>
      </c>
      <c r="F77" s="13">
        <f t="shared" si="5"/>
        <v>133071.05655955715</v>
      </c>
      <c r="H77" s="5">
        <f t="shared" si="6"/>
        <v>-646.01237946894048</v>
      </c>
      <c r="I77" s="1">
        <f t="shared" si="1"/>
        <v>-548.61443014636859</v>
      </c>
    </row>
    <row r="78" spans="1:9" x14ac:dyDescent="0.25">
      <c r="A78" s="12">
        <f t="shared" si="2"/>
        <v>63</v>
      </c>
      <c r="B78" s="13">
        <f t="shared" si="3"/>
        <v>349.75557609998731</v>
      </c>
      <c r="C78" s="13">
        <f t="shared" si="4"/>
        <v>296.25680336895317</v>
      </c>
      <c r="D78" s="13">
        <f t="shared" si="0"/>
        <v>646.01237946894048</v>
      </c>
      <c r="E78" s="13">
        <f t="shared" si="7"/>
        <v>17225.200243811792</v>
      </c>
      <c r="F78" s="13">
        <f t="shared" si="5"/>
        <v>132774.79975618821</v>
      </c>
      <c r="H78" s="5">
        <f t="shared" si="6"/>
        <v>-646.01237946894048</v>
      </c>
      <c r="I78" s="1">
        <f t="shared" si="1"/>
        <v>-547.17026818174156</v>
      </c>
    </row>
    <row r="79" spans="1:9" x14ac:dyDescent="0.25">
      <c r="A79" s="12">
        <f t="shared" si="2"/>
        <v>64</v>
      </c>
      <c r="B79" s="13">
        <f t="shared" si="3"/>
        <v>348.97691339440138</v>
      </c>
      <c r="C79" s="13">
        <f t="shared" si="4"/>
        <v>297.0354660745391</v>
      </c>
      <c r="D79" s="13">
        <f t="shared" si="0"/>
        <v>646.01237946894048</v>
      </c>
      <c r="E79" s="13">
        <f t="shared" si="7"/>
        <v>17522.235709886332</v>
      </c>
      <c r="F79" s="13">
        <f t="shared" si="5"/>
        <v>132477.76429011367</v>
      </c>
      <c r="H79" s="5">
        <f t="shared" si="6"/>
        <v>-646.01237946894048</v>
      </c>
      <c r="I79" s="1">
        <f t="shared" si="1"/>
        <v>-545.72990780100531</v>
      </c>
    </row>
    <row r="80" spans="1:9" x14ac:dyDescent="0.25">
      <c r="A80" s="12">
        <f t="shared" si="2"/>
        <v>65</v>
      </c>
      <c r="B80" s="13">
        <f t="shared" si="3"/>
        <v>348.19620410084786</v>
      </c>
      <c r="C80" s="13">
        <f t="shared" si="4"/>
        <v>297.81617536809262</v>
      </c>
      <c r="D80" s="13">
        <f t="shared" ref="D80:D143" si="8">IF(A80&lt;&gt;"",$B$11,"")</f>
        <v>646.01237946894048</v>
      </c>
      <c r="E80" s="13">
        <f t="shared" si="7"/>
        <v>17820.051885254426</v>
      </c>
      <c r="F80" s="13">
        <f t="shared" si="5"/>
        <v>132179.94811474558</v>
      </c>
      <c r="H80" s="5">
        <f t="shared" si="6"/>
        <v>-646.01237946894048</v>
      </c>
      <c r="I80" s="1">
        <f t="shared" ref="I80:I143" si="9">IF(A80&lt;&gt;"",H80*(1+$H$5)^(-A80),"")</f>
        <v>-544.29333899694495</v>
      </c>
    </row>
    <row r="81" spans="1:9" x14ac:dyDescent="0.25">
      <c r="A81" s="12">
        <f t="shared" ref="A81:A144" si="10">IFERROR(IF(A80=$B$10,"",A80+1),"")</f>
        <v>66</v>
      </c>
      <c r="B81" s="13">
        <f t="shared" ref="B81:B144" si="11">IF(A81&lt;&gt;"",F80*$C$9,"")</f>
        <v>347.41344284020408</v>
      </c>
      <c r="C81" s="13">
        <f t="shared" ref="C81:C144" si="12">IF(A81&lt;&gt;"",D81-B81,"")</f>
        <v>298.5989366287364</v>
      </c>
      <c r="D81" s="13">
        <f t="shared" si="8"/>
        <v>646.01237946894048</v>
      </c>
      <c r="E81" s="13">
        <f t="shared" si="7"/>
        <v>18118.650821883162</v>
      </c>
      <c r="F81" s="13">
        <f t="shared" ref="F81:F144" si="13">IF(A81&lt;&gt;"",F80-C81,"")</f>
        <v>131881.34917811686</v>
      </c>
      <c r="H81" s="5">
        <f t="shared" ref="H81:H144" si="14">IF(A81&lt;&gt;"",-D81,"")</f>
        <v>-646.01237946894048</v>
      </c>
      <c r="I81" s="1">
        <f t="shared" si="9"/>
        <v>-542.86055178868719</v>
      </c>
    </row>
    <row r="82" spans="1:9" x14ac:dyDescent="0.25">
      <c r="A82" s="12">
        <f t="shared" si="10"/>
        <v>67</v>
      </c>
      <c r="B82" s="13">
        <f t="shared" si="11"/>
        <v>346.62862421920903</v>
      </c>
      <c r="C82" s="13">
        <f t="shared" si="12"/>
        <v>299.38375524973145</v>
      </c>
      <c r="D82" s="13">
        <f t="shared" si="8"/>
        <v>646.01237946894048</v>
      </c>
      <c r="E82" s="13">
        <f t="shared" ref="E82:E145" si="15">IF(A82&lt;&gt;"",E81+C82,"")</f>
        <v>18418.034577132894</v>
      </c>
      <c r="F82" s="13">
        <f t="shared" si="13"/>
        <v>131581.96542286713</v>
      </c>
      <c r="H82" s="5">
        <f t="shared" si="14"/>
        <v>-646.01237946894048</v>
      </c>
      <c r="I82" s="1">
        <f t="shared" si="9"/>
        <v>-541.431536221633</v>
      </c>
    </row>
    <row r="83" spans="1:9" x14ac:dyDescent="0.25">
      <c r="A83" s="12">
        <f t="shared" si="10"/>
        <v>68</v>
      </c>
      <c r="B83" s="13">
        <f t="shared" si="11"/>
        <v>345.84174283042648</v>
      </c>
      <c r="C83" s="13">
        <f t="shared" si="12"/>
        <v>300.170636638514</v>
      </c>
      <c r="D83" s="13">
        <f t="shared" si="8"/>
        <v>646.01237946894048</v>
      </c>
      <c r="E83" s="13">
        <f t="shared" si="15"/>
        <v>18718.205213771409</v>
      </c>
      <c r="F83" s="13">
        <f t="shared" si="13"/>
        <v>131281.79478622862</v>
      </c>
      <c r="H83" s="5">
        <f t="shared" si="14"/>
        <v>-646.01237946894048</v>
      </c>
      <c r="I83" s="1">
        <f t="shared" si="9"/>
        <v>-540.00628236738726</v>
      </c>
    </row>
    <row r="84" spans="1:9" x14ac:dyDescent="0.25">
      <c r="A84" s="12">
        <f t="shared" si="10"/>
        <v>69</v>
      </c>
      <c r="B84" s="13">
        <f t="shared" si="11"/>
        <v>345.05279325220766</v>
      </c>
      <c r="C84" s="13">
        <f t="shared" si="12"/>
        <v>300.95958621673282</v>
      </c>
      <c r="D84" s="13">
        <f t="shared" si="8"/>
        <v>646.01237946894048</v>
      </c>
      <c r="E84" s="13">
        <f t="shared" si="15"/>
        <v>19019.164799988142</v>
      </c>
      <c r="F84" s="13">
        <f t="shared" si="13"/>
        <v>130980.83520001189</v>
      </c>
      <c r="H84" s="5">
        <f t="shared" si="14"/>
        <v>-646.01237946894048</v>
      </c>
      <c r="I84" s="1">
        <f t="shared" si="9"/>
        <v>-538.58478032369032</v>
      </c>
    </row>
    <row r="85" spans="1:9" x14ac:dyDescent="0.25">
      <c r="A85" s="12">
        <f t="shared" si="10"/>
        <v>70</v>
      </c>
      <c r="B85" s="13">
        <f t="shared" si="11"/>
        <v>344.26177004865372</v>
      </c>
      <c r="C85" s="13">
        <f t="shared" si="12"/>
        <v>301.75060942028676</v>
      </c>
      <c r="D85" s="13">
        <f t="shared" si="8"/>
        <v>646.01237946894048</v>
      </c>
      <c r="E85" s="13">
        <f t="shared" si="15"/>
        <v>19320.91540940843</v>
      </c>
      <c r="F85" s="13">
        <f t="shared" si="13"/>
        <v>130679.08459059161</v>
      </c>
      <c r="H85" s="5">
        <f t="shared" si="14"/>
        <v>-646.01237946894048</v>
      </c>
      <c r="I85" s="1">
        <f t="shared" si="9"/>
        <v>-537.16702021434901</v>
      </c>
    </row>
    <row r="86" spans="1:9" x14ac:dyDescent="0.25">
      <c r="A86" s="12">
        <f t="shared" si="10"/>
        <v>71</v>
      </c>
      <c r="B86" s="13">
        <f t="shared" si="11"/>
        <v>343.46866776957864</v>
      </c>
      <c r="C86" s="13">
        <f t="shared" si="12"/>
        <v>302.54371169936184</v>
      </c>
      <c r="D86" s="13">
        <f t="shared" si="8"/>
        <v>646.01237946894048</v>
      </c>
      <c r="E86" s="13">
        <f t="shared" si="15"/>
        <v>19623.459121107793</v>
      </c>
      <c r="F86" s="13">
        <f t="shared" si="13"/>
        <v>130376.54087889225</v>
      </c>
      <c r="H86" s="5">
        <f t="shared" si="14"/>
        <v>-646.01237946894048</v>
      </c>
      <c r="I86" s="1">
        <f t="shared" si="9"/>
        <v>-535.75299218916814</v>
      </c>
    </row>
    <row r="87" spans="1:9" x14ac:dyDescent="0.25">
      <c r="A87" s="12">
        <f t="shared" si="10"/>
        <v>72</v>
      </c>
      <c r="B87" s="13">
        <f t="shared" si="11"/>
        <v>342.67348095047134</v>
      </c>
      <c r="C87" s="13">
        <f t="shared" si="12"/>
        <v>303.33889851846914</v>
      </c>
      <c r="D87" s="13">
        <f t="shared" si="8"/>
        <v>646.01237946894048</v>
      </c>
      <c r="E87" s="13">
        <f t="shared" si="15"/>
        <v>19926.798019626262</v>
      </c>
      <c r="F87" s="13">
        <f t="shared" si="13"/>
        <v>130073.20198037378</v>
      </c>
      <c r="H87" s="5">
        <f t="shared" si="14"/>
        <v>-646.01237946894048</v>
      </c>
      <c r="I87" s="1">
        <f t="shared" si="9"/>
        <v>-534.34268642388167</v>
      </c>
    </row>
    <row r="88" spans="1:9" x14ac:dyDescent="0.25">
      <c r="A88" s="12">
        <f t="shared" si="10"/>
        <v>73</v>
      </c>
      <c r="B88" s="13">
        <f t="shared" si="11"/>
        <v>341.87620411245831</v>
      </c>
      <c r="C88" s="13">
        <f t="shared" si="12"/>
        <v>304.13617535648217</v>
      </c>
      <c r="D88" s="13">
        <f t="shared" si="8"/>
        <v>646.01237946894048</v>
      </c>
      <c r="E88" s="13">
        <f t="shared" si="15"/>
        <v>20230.934194982743</v>
      </c>
      <c r="F88" s="13">
        <f t="shared" si="13"/>
        <v>129769.06580501729</v>
      </c>
      <c r="H88" s="5">
        <f t="shared" si="14"/>
        <v>-646.01237946894048</v>
      </c>
      <c r="I88" s="1">
        <f t="shared" si="9"/>
        <v>-532.93609312008505</v>
      </c>
    </row>
    <row r="89" spans="1:9" x14ac:dyDescent="0.25">
      <c r="A89" s="12">
        <f t="shared" si="10"/>
        <v>74</v>
      </c>
      <c r="B89" s="13">
        <f t="shared" si="11"/>
        <v>341.0768317622655</v>
      </c>
      <c r="C89" s="13">
        <f t="shared" si="12"/>
        <v>304.93554770667498</v>
      </c>
      <c r="D89" s="13">
        <f t="shared" si="8"/>
        <v>646.01237946894048</v>
      </c>
      <c r="E89" s="13">
        <f t="shared" si="15"/>
        <v>20535.869742689418</v>
      </c>
      <c r="F89" s="13">
        <f t="shared" si="13"/>
        <v>129464.13025731062</v>
      </c>
      <c r="H89" s="5">
        <f t="shared" si="14"/>
        <v>-646.01237946894048</v>
      </c>
      <c r="I89" s="1">
        <f t="shared" si="9"/>
        <v>-531.53320250516686</v>
      </c>
    </row>
    <row r="90" spans="1:9" x14ac:dyDescent="0.25">
      <c r="A90" s="12">
        <f t="shared" si="10"/>
        <v>75</v>
      </c>
      <c r="B90" s="13">
        <f t="shared" si="11"/>
        <v>340.27535839218081</v>
      </c>
      <c r="C90" s="13">
        <f t="shared" si="12"/>
        <v>305.73702107675967</v>
      </c>
      <c r="D90" s="13">
        <f t="shared" si="8"/>
        <v>646.01237946894048</v>
      </c>
      <c r="E90" s="13">
        <f t="shared" si="15"/>
        <v>20841.606763766176</v>
      </c>
      <c r="F90" s="13">
        <f t="shared" si="13"/>
        <v>129158.39323623387</v>
      </c>
      <c r="H90" s="5">
        <f t="shared" si="14"/>
        <v>-646.01237946894048</v>
      </c>
      <c r="I90" s="1">
        <f t="shared" si="9"/>
        <v>-530.13400483224098</v>
      </c>
    </row>
    <row r="91" spans="1:9" x14ac:dyDescent="0.25">
      <c r="A91" s="12">
        <f t="shared" si="10"/>
        <v>76</v>
      </c>
      <c r="B91" s="13">
        <f t="shared" si="11"/>
        <v>339.4717784800161</v>
      </c>
      <c r="C91" s="13">
        <f t="shared" si="12"/>
        <v>306.54060098892438</v>
      </c>
      <c r="D91" s="13">
        <f t="shared" si="8"/>
        <v>646.01237946894048</v>
      </c>
      <c r="E91" s="13">
        <f t="shared" si="15"/>
        <v>21148.147364755099</v>
      </c>
      <c r="F91" s="13">
        <f t="shared" si="13"/>
        <v>128851.85263524494</v>
      </c>
      <c r="H91" s="5">
        <f t="shared" si="14"/>
        <v>-646.01237946894048</v>
      </c>
      <c r="I91" s="1">
        <f t="shared" si="9"/>
        <v>-528.73849038007836</v>
      </c>
    </row>
    <row r="92" spans="1:9" x14ac:dyDescent="0.25">
      <c r="A92" s="12">
        <f t="shared" si="10"/>
        <v>77</v>
      </c>
      <c r="B92" s="13">
        <f t="shared" si="11"/>
        <v>338.6660864890689</v>
      </c>
      <c r="C92" s="13">
        <f t="shared" si="12"/>
        <v>307.34629297987158</v>
      </c>
      <c r="D92" s="13">
        <f t="shared" si="8"/>
        <v>646.01237946894048</v>
      </c>
      <c r="E92" s="13">
        <f t="shared" si="15"/>
        <v>21455.493657734973</v>
      </c>
      <c r="F92" s="13">
        <f t="shared" si="13"/>
        <v>128544.50634226507</v>
      </c>
      <c r="H92" s="5">
        <f t="shared" si="14"/>
        <v>-646.01237946894048</v>
      </c>
      <c r="I92" s="1">
        <f t="shared" si="9"/>
        <v>-527.34664945304053</v>
      </c>
    </row>
    <row r="93" spans="1:9" x14ac:dyDescent="0.25">
      <c r="A93" s="12">
        <f t="shared" si="10"/>
        <v>78</v>
      </c>
      <c r="B93" s="13">
        <f t="shared" si="11"/>
        <v>337.85827686808449</v>
      </c>
      <c r="C93" s="13">
        <f t="shared" si="12"/>
        <v>308.15410260085599</v>
      </c>
      <c r="D93" s="13">
        <f t="shared" si="8"/>
        <v>646.01237946894048</v>
      </c>
      <c r="E93" s="13">
        <f t="shared" si="15"/>
        <v>21763.647760335829</v>
      </c>
      <c r="F93" s="13">
        <f t="shared" si="13"/>
        <v>128236.35223966422</v>
      </c>
      <c r="H93" s="5">
        <f t="shared" si="14"/>
        <v>-646.01237946894048</v>
      </c>
      <c r="I93" s="1">
        <f t="shared" si="9"/>
        <v>-525.95847238101112</v>
      </c>
    </row>
    <row r="94" spans="1:9" x14ac:dyDescent="0.25">
      <c r="A94" s="12">
        <f t="shared" si="10"/>
        <v>79</v>
      </c>
      <c r="B94" s="13">
        <f t="shared" si="11"/>
        <v>337.04834405121761</v>
      </c>
      <c r="C94" s="13">
        <f t="shared" si="12"/>
        <v>308.96403541772287</v>
      </c>
      <c r="D94" s="13">
        <f t="shared" si="8"/>
        <v>646.01237946894048</v>
      </c>
      <c r="E94" s="13">
        <f t="shared" si="15"/>
        <v>22072.611795753553</v>
      </c>
      <c r="F94" s="13">
        <f t="shared" si="13"/>
        <v>127927.3882042465</v>
      </c>
      <c r="H94" s="5">
        <f t="shared" si="14"/>
        <v>-646.01237946894048</v>
      </c>
      <c r="I94" s="1">
        <f t="shared" si="9"/>
        <v>-524.57394951932963</v>
      </c>
    </row>
    <row r="95" spans="1:9" x14ac:dyDescent="0.25">
      <c r="A95" s="12">
        <f t="shared" si="10"/>
        <v>80</v>
      </c>
      <c r="B95" s="13">
        <f t="shared" si="11"/>
        <v>336.23628245799404</v>
      </c>
      <c r="C95" s="13">
        <f t="shared" si="12"/>
        <v>309.77609701094644</v>
      </c>
      <c r="D95" s="13">
        <f t="shared" si="8"/>
        <v>646.01237946894048</v>
      </c>
      <c r="E95" s="13">
        <f t="shared" si="15"/>
        <v>22382.387892764498</v>
      </c>
      <c r="F95" s="13">
        <f t="shared" si="13"/>
        <v>127617.61210723555</v>
      </c>
      <c r="H95" s="5">
        <f t="shared" si="14"/>
        <v>-646.01237946894048</v>
      </c>
      <c r="I95" s="1">
        <f t="shared" si="9"/>
        <v>-523.19307124872353</v>
      </c>
    </row>
    <row r="96" spans="1:9" x14ac:dyDescent="0.25">
      <c r="A96" s="12">
        <f t="shared" si="10"/>
        <v>81</v>
      </c>
      <c r="B96" s="13">
        <f t="shared" si="11"/>
        <v>335.4220864932721</v>
      </c>
      <c r="C96" s="13">
        <f t="shared" si="12"/>
        <v>310.59029297566838</v>
      </c>
      <c r="D96" s="13">
        <f t="shared" si="8"/>
        <v>646.01237946894048</v>
      </c>
      <c r="E96" s="13">
        <f t="shared" si="15"/>
        <v>22692.978185740165</v>
      </c>
      <c r="F96" s="13">
        <f t="shared" si="13"/>
        <v>127307.02181425988</v>
      </c>
      <c r="H96" s="5">
        <f t="shared" si="14"/>
        <v>-646.01237946894048</v>
      </c>
      <c r="I96" s="1">
        <f t="shared" si="9"/>
        <v>-521.8158279752422</v>
      </c>
    </row>
    <row r="97" spans="1:9" x14ac:dyDescent="0.25">
      <c r="A97" s="12">
        <f t="shared" si="10"/>
        <v>82</v>
      </c>
      <c r="B97" s="13">
        <f t="shared" si="11"/>
        <v>334.60575054720448</v>
      </c>
      <c r="C97" s="13">
        <f t="shared" si="12"/>
        <v>311.406628921736</v>
      </c>
      <c r="D97" s="13">
        <f t="shared" si="8"/>
        <v>646.01237946894048</v>
      </c>
      <c r="E97" s="13">
        <f t="shared" si="15"/>
        <v>23004.384814661902</v>
      </c>
      <c r="F97" s="13">
        <f t="shared" si="13"/>
        <v>126995.61518533815</v>
      </c>
      <c r="H97" s="5">
        <f t="shared" si="14"/>
        <v>-646.01237946894048</v>
      </c>
      <c r="I97" s="1">
        <f t="shared" si="9"/>
        <v>-520.44221013018989</v>
      </c>
    </row>
    <row r="98" spans="1:9" x14ac:dyDescent="0.25">
      <c r="A98" s="12">
        <f t="shared" si="10"/>
        <v>83</v>
      </c>
      <c r="B98" s="13">
        <f t="shared" si="11"/>
        <v>333.78726899519899</v>
      </c>
      <c r="C98" s="13">
        <f t="shared" si="12"/>
        <v>312.22511047374149</v>
      </c>
      <c r="D98" s="13">
        <f t="shared" si="8"/>
        <v>646.01237946894048</v>
      </c>
      <c r="E98" s="13">
        <f t="shared" si="15"/>
        <v>23316.609925135643</v>
      </c>
      <c r="F98" s="13">
        <f t="shared" si="13"/>
        <v>126683.39007486441</v>
      </c>
      <c r="H98" s="5">
        <f t="shared" si="14"/>
        <v>-646.01237946894048</v>
      </c>
      <c r="I98" s="1">
        <f t="shared" si="9"/>
        <v>-519.0722081700593</v>
      </c>
    </row>
    <row r="99" spans="1:9" x14ac:dyDescent="0.25">
      <c r="A99" s="12">
        <f t="shared" si="10"/>
        <v>84</v>
      </c>
      <c r="B99" s="13">
        <f t="shared" si="11"/>
        <v>332.96663619788029</v>
      </c>
      <c r="C99" s="13">
        <f t="shared" si="12"/>
        <v>313.04574327106019</v>
      </c>
      <c r="D99" s="13">
        <f t="shared" si="8"/>
        <v>646.01237946894048</v>
      </c>
      <c r="E99" s="13">
        <f t="shared" si="15"/>
        <v>23629.655668406704</v>
      </c>
      <c r="F99" s="13">
        <f t="shared" si="13"/>
        <v>126370.34433159335</v>
      </c>
      <c r="H99" s="5">
        <f t="shared" si="14"/>
        <v>-646.01237946894048</v>
      </c>
      <c r="I99" s="1">
        <f t="shared" si="9"/>
        <v>-517.70581257646506</v>
      </c>
    </row>
    <row r="100" spans="1:9" x14ac:dyDescent="0.25">
      <c r="A100" s="12">
        <f t="shared" si="10"/>
        <v>85</v>
      </c>
      <c r="B100" s="13">
        <f t="shared" si="11"/>
        <v>332.1438465010508</v>
      </c>
      <c r="C100" s="13">
        <f t="shared" si="12"/>
        <v>313.86853296788968</v>
      </c>
      <c r="D100" s="13">
        <f t="shared" si="8"/>
        <v>646.01237946894048</v>
      </c>
      <c r="E100" s="13">
        <f t="shared" si="15"/>
        <v>23943.524201374592</v>
      </c>
      <c r="F100" s="13">
        <f t="shared" si="13"/>
        <v>126056.47579862547</v>
      </c>
      <c r="H100" s="5">
        <f t="shared" si="14"/>
        <v>-646.01237946894048</v>
      </c>
      <c r="I100" s="1">
        <f t="shared" si="9"/>
        <v>-516.34301385607796</v>
      </c>
    </row>
    <row r="101" spans="1:9" x14ac:dyDescent="0.25">
      <c r="A101" s="12">
        <f t="shared" si="10"/>
        <v>86</v>
      </c>
      <c r="B101" s="13">
        <f t="shared" si="11"/>
        <v>331.31889423565184</v>
      </c>
      <c r="C101" s="13">
        <f t="shared" si="12"/>
        <v>314.69348523328864</v>
      </c>
      <c r="D101" s="13">
        <f t="shared" si="8"/>
        <v>646.01237946894048</v>
      </c>
      <c r="E101" s="13">
        <f t="shared" si="15"/>
        <v>24258.217686607881</v>
      </c>
      <c r="F101" s="13">
        <f t="shared" si="13"/>
        <v>125741.78231339218</v>
      </c>
      <c r="H101" s="5">
        <f t="shared" si="14"/>
        <v>-646.01237946894048</v>
      </c>
      <c r="I101" s="1">
        <f t="shared" si="9"/>
        <v>-514.98380254055905</v>
      </c>
    </row>
    <row r="102" spans="1:9" x14ac:dyDescent="0.25">
      <c r="A102" s="12">
        <f t="shared" si="10"/>
        <v>87</v>
      </c>
      <c r="B102" s="13">
        <f t="shared" si="11"/>
        <v>330.49177371772447</v>
      </c>
      <c r="C102" s="13">
        <f t="shared" si="12"/>
        <v>315.52060575121601</v>
      </c>
      <c r="D102" s="13">
        <f t="shared" si="8"/>
        <v>646.01237946894048</v>
      </c>
      <c r="E102" s="13">
        <f t="shared" si="15"/>
        <v>24573.738292359096</v>
      </c>
      <c r="F102" s="13">
        <f t="shared" si="13"/>
        <v>125426.26170764097</v>
      </c>
      <c r="H102" s="5">
        <f t="shared" si="14"/>
        <v>-646.01237946894048</v>
      </c>
      <c r="I102" s="1">
        <f t="shared" si="9"/>
        <v>-513.62816918649344</v>
      </c>
    </row>
    <row r="103" spans="1:9" x14ac:dyDescent="0.25">
      <c r="A103" s="12">
        <f t="shared" si="10"/>
        <v>88</v>
      </c>
      <c r="B103" s="13">
        <f t="shared" si="11"/>
        <v>329.66247924837046</v>
      </c>
      <c r="C103" s="13">
        <f t="shared" si="12"/>
        <v>316.34990022057002</v>
      </c>
      <c r="D103" s="13">
        <f t="shared" si="8"/>
        <v>646.01237946894048</v>
      </c>
      <c r="E103" s="13">
        <f t="shared" si="15"/>
        <v>24890.088192579668</v>
      </c>
      <c r="F103" s="13">
        <f t="shared" si="13"/>
        <v>125109.9118074204</v>
      </c>
      <c r="H103" s="5">
        <f t="shared" si="14"/>
        <v>-646.01237946894048</v>
      </c>
      <c r="I103" s="1">
        <f t="shared" si="9"/>
        <v>-512.27610437532485</v>
      </c>
    </row>
    <row r="104" spans="1:9" x14ac:dyDescent="0.25">
      <c r="A104" s="12">
        <f t="shared" si="10"/>
        <v>89</v>
      </c>
      <c r="B104" s="13">
        <f t="shared" si="11"/>
        <v>328.83100511371299</v>
      </c>
      <c r="C104" s="13">
        <f t="shared" si="12"/>
        <v>317.18137435522749</v>
      </c>
      <c r="D104" s="13">
        <f t="shared" si="8"/>
        <v>646.01237946894048</v>
      </c>
      <c r="E104" s="13">
        <f t="shared" si="15"/>
        <v>25207.269566934894</v>
      </c>
      <c r="F104" s="13">
        <f t="shared" si="13"/>
        <v>124792.73043306517</v>
      </c>
      <c r="H104" s="5">
        <f t="shared" si="14"/>
        <v>-646.01237946894048</v>
      </c>
      <c r="I104" s="1">
        <f t="shared" si="9"/>
        <v>-510.92759871329037</v>
      </c>
    </row>
    <row r="105" spans="1:9" x14ac:dyDescent="0.25">
      <c r="A105" s="12">
        <f t="shared" si="10"/>
        <v>90</v>
      </c>
      <c r="B105" s="13">
        <f t="shared" si="11"/>
        <v>327.99734558485704</v>
      </c>
      <c r="C105" s="13">
        <f t="shared" si="12"/>
        <v>318.01503388408344</v>
      </c>
      <c r="D105" s="13">
        <f t="shared" si="8"/>
        <v>646.01237946894048</v>
      </c>
      <c r="E105" s="13">
        <f t="shared" si="15"/>
        <v>25525.284600818977</v>
      </c>
      <c r="F105" s="13">
        <f t="shared" si="13"/>
        <v>124474.71539918108</v>
      </c>
      <c r="H105" s="5">
        <f t="shared" si="14"/>
        <v>-646.01237946894048</v>
      </c>
      <c r="I105" s="1">
        <f t="shared" si="9"/>
        <v>-509.58264283135492</v>
      </c>
    </row>
    <row r="106" spans="1:9" x14ac:dyDescent="0.25">
      <c r="A106" s="12">
        <f t="shared" si="10"/>
        <v>91</v>
      </c>
      <c r="B106" s="13">
        <f t="shared" si="11"/>
        <v>327.1614949178504</v>
      </c>
      <c r="C106" s="13">
        <f t="shared" si="12"/>
        <v>318.85088455109008</v>
      </c>
      <c r="D106" s="13">
        <f t="shared" si="8"/>
        <v>646.01237946894048</v>
      </c>
      <c r="E106" s="13">
        <f t="shared" si="15"/>
        <v>25844.135485370069</v>
      </c>
      <c r="F106" s="13">
        <f t="shared" si="13"/>
        <v>124155.86451462998</v>
      </c>
      <c r="H106" s="5">
        <f t="shared" si="14"/>
        <v>-646.01237946894048</v>
      </c>
      <c r="I106" s="1">
        <f t="shared" si="9"/>
        <v>-508.24122738514637</v>
      </c>
    </row>
    <row r="107" spans="1:9" x14ac:dyDescent="0.25">
      <c r="A107" s="12">
        <f t="shared" si="10"/>
        <v>92</v>
      </c>
      <c r="B107" s="13">
        <f t="shared" si="11"/>
        <v>326.32344735364364</v>
      </c>
      <c r="C107" s="13">
        <f t="shared" si="12"/>
        <v>319.68893211529684</v>
      </c>
      <c r="D107" s="13">
        <f t="shared" si="8"/>
        <v>646.01237946894048</v>
      </c>
      <c r="E107" s="13">
        <f t="shared" si="15"/>
        <v>26163.824417485364</v>
      </c>
      <c r="F107" s="13">
        <f t="shared" si="13"/>
        <v>123836.17558251468</v>
      </c>
      <c r="H107" s="5">
        <f t="shared" si="14"/>
        <v>-646.01237946894048</v>
      </c>
      <c r="I107" s="1">
        <f t="shared" si="9"/>
        <v>-506.90334305489068</v>
      </c>
    </row>
    <row r="108" spans="1:9" x14ac:dyDescent="0.25">
      <c r="A108" s="12">
        <f t="shared" si="10"/>
        <v>93</v>
      </c>
      <c r="B108" s="13">
        <f t="shared" si="11"/>
        <v>325.48319711805061</v>
      </c>
      <c r="C108" s="13">
        <f t="shared" si="12"/>
        <v>320.52918235088987</v>
      </c>
      <c r="D108" s="13">
        <f t="shared" si="8"/>
        <v>646.01237946894048</v>
      </c>
      <c r="E108" s="13">
        <f t="shared" si="15"/>
        <v>26484.353599836253</v>
      </c>
      <c r="F108" s="13">
        <f t="shared" si="13"/>
        <v>123515.64640016379</v>
      </c>
      <c r="H108" s="5">
        <f t="shared" si="14"/>
        <v>-646.01237946894048</v>
      </c>
      <c r="I108" s="1">
        <f t="shared" si="9"/>
        <v>-505.56898054534662</v>
      </c>
    </row>
    <row r="109" spans="1:9" x14ac:dyDescent="0.25">
      <c r="A109" s="12">
        <f t="shared" si="10"/>
        <v>94</v>
      </c>
      <c r="B109" s="13">
        <f t="shared" si="11"/>
        <v>324.64073842170882</v>
      </c>
      <c r="C109" s="13">
        <f t="shared" si="12"/>
        <v>321.37164104723166</v>
      </c>
      <c r="D109" s="13">
        <f t="shared" si="8"/>
        <v>646.01237946894048</v>
      </c>
      <c r="E109" s="13">
        <f t="shared" si="15"/>
        <v>26805.725240883487</v>
      </c>
      <c r="F109" s="13">
        <f t="shared" si="13"/>
        <v>123194.27475911657</v>
      </c>
      <c r="H109" s="5">
        <f t="shared" si="14"/>
        <v>-646.01237946894048</v>
      </c>
      <c r="I109" s="1">
        <f t="shared" si="9"/>
        <v>-504.23813058574171</v>
      </c>
    </row>
    <row r="110" spans="1:9" x14ac:dyDescent="0.25">
      <c r="A110" s="12">
        <f t="shared" si="10"/>
        <v>95</v>
      </c>
      <c r="B110" s="13">
        <f t="shared" si="11"/>
        <v>323.79606546003919</v>
      </c>
      <c r="C110" s="13">
        <f t="shared" si="12"/>
        <v>322.21631400890129</v>
      </c>
      <c r="D110" s="13">
        <f t="shared" si="8"/>
        <v>646.01237946894048</v>
      </c>
      <c r="E110" s="13">
        <f t="shared" si="15"/>
        <v>27127.941554892386</v>
      </c>
      <c r="F110" s="13">
        <f t="shared" si="13"/>
        <v>122872.05844510767</v>
      </c>
      <c r="H110" s="5">
        <f t="shared" si="14"/>
        <v>-646.01237946894048</v>
      </c>
      <c r="I110" s="1">
        <f t="shared" si="9"/>
        <v>-502.91078392970803</v>
      </c>
    </row>
    <row r="111" spans="1:9" x14ac:dyDescent="0.25">
      <c r="A111" s="12">
        <f t="shared" si="10"/>
        <v>96</v>
      </c>
      <c r="B111" s="13">
        <f t="shared" si="11"/>
        <v>322.94917241320627</v>
      </c>
      <c r="C111" s="13">
        <f t="shared" si="12"/>
        <v>323.06320705573421</v>
      </c>
      <c r="D111" s="13">
        <f t="shared" si="8"/>
        <v>646.01237946894048</v>
      </c>
      <c r="E111" s="13">
        <f t="shared" si="15"/>
        <v>27451.004761948119</v>
      </c>
      <c r="F111" s="13">
        <f t="shared" si="13"/>
        <v>122548.99523805194</v>
      </c>
      <c r="H111" s="5">
        <f t="shared" si="14"/>
        <v>-646.01237946894048</v>
      </c>
      <c r="I111" s="1">
        <f t="shared" si="9"/>
        <v>-501.58693135521713</v>
      </c>
    </row>
    <row r="112" spans="1:9" x14ac:dyDescent="0.25">
      <c r="A112" s="12">
        <f t="shared" si="10"/>
        <v>97</v>
      </c>
      <c r="B112" s="13">
        <f t="shared" si="11"/>
        <v>322.10005344607822</v>
      </c>
      <c r="C112" s="13">
        <f t="shared" si="12"/>
        <v>323.91232602286226</v>
      </c>
      <c r="D112" s="13">
        <f t="shared" si="8"/>
        <v>646.01237946894048</v>
      </c>
      <c r="E112" s="13">
        <f t="shared" si="15"/>
        <v>27774.917087970982</v>
      </c>
      <c r="F112" s="13">
        <f t="shared" si="13"/>
        <v>122225.08291202907</v>
      </c>
      <c r="H112" s="5">
        <f t="shared" si="14"/>
        <v>-646.01237946894048</v>
      </c>
      <c r="I112" s="1">
        <f t="shared" si="9"/>
        <v>-500.26656366451687</v>
      </c>
    </row>
    <row r="113" spans="1:9" x14ac:dyDescent="0.25">
      <c r="A113" s="12">
        <f t="shared" si="10"/>
        <v>98</v>
      </c>
      <c r="B113" s="13">
        <f t="shared" si="11"/>
        <v>321.2487027081865</v>
      </c>
      <c r="C113" s="13">
        <f t="shared" si="12"/>
        <v>324.76367676075398</v>
      </c>
      <c r="D113" s="13">
        <f t="shared" si="8"/>
        <v>646.01237946894048</v>
      </c>
      <c r="E113" s="13">
        <f t="shared" si="15"/>
        <v>28099.680764731736</v>
      </c>
      <c r="F113" s="13">
        <f t="shared" si="13"/>
        <v>121900.31923526833</v>
      </c>
      <c r="H113" s="5">
        <f t="shared" si="14"/>
        <v>-646.01237946894048</v>
      </c>
      <c r="I113" s="1">
        <f t="shared" si="9"/>
        <v>-498.94967168406657</v>
      </c>
    </row>
    <row r="114" spans="1:9" x14ac:dyDescent="0.25">
      <c r="A114" s="12">
        <f t="shared" si="10"/>
        <v>99</v>
      </c>
      <c r="B114" s="13">
        <f t="shared" si="11"/>
        <v>320.39511433368546</v>
      </c>
      <c r="C114" s="13">
        <f t="shared" si="12"/>
        <v>325.61726513525502</v>
      </c>
      <c r="D114" s="13">
        <f t="shared" si="8"/>
        <v>646.01237946894048</v>
      </c>
      <c r="E114" s="13">
        <f t="shared" si="15"/>
        <v>28425.29802986699</v>
      </c>
      <c r="F114" s="13">
        <f t="shared" si="13"/>
        <v>121574.70197013307</v>
      </c>
      <c r="H114" s="5">
        <f t="shared" si="14"/>
        <v>-646.01237946894048</v>
      </c>
      <c r="I114" s="1">
        <f t="shared" si="9"/>
        <v>-497.63624626447444</v>
      </c>
    </row>
    <row r="115" spans="1:9" x14ac:dyDescent="0.25">
      <c r="A115" s="12">
        <f t="shared" si="10"/>
        <v>100</v>
      </c>
      <c r="B115" s="13">
        <f t="shared" si="11"/>
        <v>319.53928244131214</v>
      </c>
      <c r="C115" s="13">
        <f t="shared" si="12"/>
        <v>326.47309702762834</v>
      </c>
      <c r="D115" s="13">
        <f t="shared" si="8"/>
        <v>646.01237946894048</v>
      </c>
      <c r="E115" s="13">
        <f t="shared" si="15"/>
        <v>28751.771126894619</v>
      </c>
      <c r="F115" s="13">
        <f t="shared" si="13"/>
        <v>121248.22887310544</v>
      </c>
      <c r="H115" s="5">
        <f t="shared" si="14"/>
        <v>-646.01237946894048</v>
      </c>
      <c r="I115" s="1">
        <f t="shared" si="9"/>
        <v>-496.32627828043275</v>
      </c>
    </row>
    <row r="116" spans="1:9" x14ac:dyDescent="0.25">
      <c r="A116" s="12">
        <f t="shared" si="10"/>
        <v>101</v>
      </c>
      <c r="B116" s="13">
        <f t="shared" si="11"/>
        <v>318.6812011343456</v>
      </c>
      <c r="C116" s="13">
        <f t="shared" si="12"/>
        <v>327.33117833459488</v>
      </c>
      <c r="D116" s="13">
        <f t="shared" si="8"/>
        <v>646.01237946894048</v>
      </c>
      <c r="E116" s="13">
        <f t="shared" si="15"/>
        <v>29079.102305229215</v>
      </c>
      <c r="F116" s="13">
        <f t="shared" si="13"/>
        <v>120920.89769477084</v>
      </c>
      <c r="H116" s="5">
        <f t="shared" si="14"/>
        <v>-646.01237946894048</v>
      </c>
      <c r="I116" s="1">
        <f t="shared" si="9"/>
        <v>-495.01975863065559</v>
      </c>
    </row>
    <row r="117" spans="1:9" x14ac:dyDescent="0.25">
      <c r="A117" s="12">
        <f t="shared" si="10"/>
        <v>102</v>
      </c>
      <c r="B117" s="13">
        <f t="shared" si="11"/>
        <v>317.8208645005663</v>
      </c>
      <c r="C117" s="13">
        <f t="shared" si="12"/>
        <v>328.19151496837418</v>
      </c>
      <c r="D117" s="13">
        <f t="shared" si="8"/>
        <v>646.01237946894048</v>
      </c>
      <c r="E117" s="13">
        <f t="shared" si="15"/>
        <v>29407.293820197589</v>
      </c>
      <c r="F117" s="13">
        <f t="shared" si="13"/>
        <v>120592.70617980247</v>
      </c>
      <c r="H117" s="5">
        <f t="shared" si="14"/>
        <v>-646.01237946894048</v>
      </c>
      <c r="I117" s="1">
        <f t="shared" si="9"/>
        <v>-493.71667823781479</v>
      </c>
    </row>
    <row r="118" spans="1:9" x14ac:dyDescent="0.25">
      <c r="A118" s="12">
        <f t="shared" si="10"/>
        <v>103</v>
      </c>
      <c r="B118" s="13">
        <f t="shared" si="11"/>
        <v>316.95826661221543</v>
      </c>
      <c r="C118" s="13">
        <f t="shared" si="12"/>
        <v>329.05411285672506</v>
      </c>
      <c r="D118" s="13">
        <f t="shared" si="8"/>
        <v>646.01237946894048</v>
      </c>
      <c r="E118" s="13">
        <f t="shared" si="15"/>
        <v>29736.347933054312</v>
      </c>
      <c r="F118" s="13">
        <f t="shared" si="13"/>
        <v>120263.65206694574</v>
      </c>
      <c r="H118" s="5">
        <f t="shared" si="14"/>
        <v>-646.01237946894048</v>
      </c>
      <c r="I118" s="1">
        <f t="shared" si="9"/>
        <v>-492.41702804847711</v>
      </c>
    </row>
    <row r="119" spans="1:9" x14ac:dyDescent="0.25">
      <c r="A119" s="12">
        <f t="shared" si="10"/>
        <v>104</v>
      </c>
      <c r="B119" s="13">
        <f t="shared" si="11"/>
        <v>316.09340152595405</v>
      </c>
      <c r="C119" s="13">
        <f t="shared" si="12"/>
        <v>329.91897794298643</v>
      </c>
      <c r="D119" s="13">
        <f t="shared" si="8"/>
        <v>646.01237946894048</v>
      </c>
      <c r="E119" s="13">
        <f t="shared" si="15"/>
        <v>30066.266910997299</v>
      </c>
      <c r="F119" s="13">
        <f t="shared" si="13"/>
        <v>119933.73308900275</v>
      </c>
      <c r="H119" s="5">
        <f t="shared" si="14"/>
        <v>-646.01237946894048</v>
      </c>
      <c r="I119" s="1">
        <f t="shared" si="9"/>
        <v>-491.12079903304152</v>
      </c>
    </row>
    <row r="120" spans="1:9" x14ac:dyDescent="0.25">
      <c r="A120" s="12">
        <f t="shared" si="10"/>
        <v>105</v>
      </c>
      <c r="B120" s="13">
        <f t="shared" si="11"/>
        <v>315.22626328282206</v>
      </c>
      <c r="C120" s="13">
        <f t="shared" si="12"/>
        <v>330.78611618611842</v>
      </c>
      <c r="D120" s="13">
        <f t="shared" si="8"/>
        <v>646.01237946894048</v>
      </c>
      <c r="E120" s="13">
        <f t="shared" si="15"/>
        <v>30397.053027183418</v>
      </c>
      <c r="F120" s="13">
        <f t="shared" si="13"/>
        <v>119602.94697281663</v>
      </c>
      <c r="H120" s="5">
        <f t="shared" si="14"/>
        <v>-646.01237946894048</v>
      </c>
      <c r="I120" s="1">
        <f t="shared" si="9"/>
        <v>-489.82798218567643</v>
      </c>
    </row>
    <row r="121" spans="1:9" x14ac:dyDescent="0.25">
      <c r="A121" s="12">
        <f t="shared" si="10"/>
        <v>106</v>
      </c>
      <c r="B121" s="13">
        <f t="shared" si="11"/>
        <v>314.35684590819727</v>
      </c>
      <c r="C121" s="13">
        <f t="shared" si="12"/>
        <v>331.65553356074321</v>
      </c>
      <c r="D121" s="13">
        <f t="shared" si="8"/>
        <v>646.01237946894048</v>
      </c>
      <c r="E121" s="13">
        <f t="shared" si="15"/>
        <v>30728.708560744162</v>
      </c>
      <c r="F121" s="13">
        <f t="shared" si="13"/>
        <v>119271.29143925589</v>
      </c>
      <c r="H121" s="5">
        <f t="shared" si="14"/>
        <v>-646.01237946894048</v>
      </c>
      <c r="I121" s="1">
        <f t="shared" si="9"/>
        <v>-488.53856852425702</v>
      </c>
    </row>
    <row r="122" spans="1:9" x14ac:dyDescent="0.25">
      <c r="A122" s="12">
        <f t="shared" si="10"/>
        <v>107</v>
      </c>
      <c r="B122" s="13">
        <f t="shared" si="11"/>
        <v>313.48514341175422</v>
      </c>
      <c r="C122" s="13">
        <f t="shared" si="12"/>
        <v>332.52723605718626</v>
      </c>
      <c r="D122" s="13">
        <f t="shared" si="8"/>
        <v>646.01237946894048</v>
      </c>
      <c r="E122" s="13">
        <f t="shared" si="15"/>
        <v>31061.235796801349</v>
      </c>
      <c r="F122" s="13">
        <f t="shared" si="13"/>
        <v>118938.76420319871</v>
      </c>
      <c r="H122" s="5">
        <f t="shared" si="14"/>
        <v>-646.01237946894048</v>
      </c>
      <c r="I122" s="1">
        <f t="shared" si="9"/>
        <v>-487.25254909030241</v>
      </c>
    </row>
    <row r="123" spans="1:9" x14ac:dyDescent="0.25">
      <c r="A123" s="12">
        <f t="shared" si="10"/>
        <v>108</v>
      </c>
      <c r="B123" s="13">
        <f t="shared" si="11"/>
        <v>312.61114978742268</v>
      </c>
      <c r="C123" s="13">
        <f t="shared" si="12"/>
        <v>333.4012296815178</v>
      </c>
      <c r="D123" s="13">
        <f t="shared" si="8"/>
        <v>646.01237946894048</v>
      </c>
      <c r="E123" s="13">
        <f t="shared" si="15"/>
        <v>31394.637026482866</v>
      </c>
      <c r="F123" s="13">
        <f t="shared" si="13"/>
        <v>118605.36297351719</v>
      </c>
      <c r="H123" s="5">
        <f t="shared" si="14"/>
        <v>-646.01237946894048</v>
      </c>
      <c r="I123" s="1">
        <f t="shared" si="9"/>
        <v>-485.96991494891449</v>
      </c>
    </row>
    <row r="124" spans="1:9" x14ac:dyDescent="0.25">
      <c r="A124" s="12">
        <f t="shared" si="10"/>
        <v>109</v>
      </c>
      <c r="B124" s="13">
        <f t="shared" si="11"/>
        <v>311.73485901334652</v>
      </c>
      <c r="C124" s="13">
        <f t="shared" si="12"/>
        <v>334.27752045559396</v>
      </c>
      <c r="D124" s="13">
        <f t="shared" si="8"/>
        <v>646.01237946894048</v>
      </c>
      <c r="E124" s="13">
        <f t="shared" si="15"/>
        <v>31728.91454693846</v>
      </c>
      <c r="F124" s="13">
        <f t="shared" si="13"/>
        <v>118271.08545306159</v>
      </c>
      <c r="H124" s="5">
        <f t="shared" si="14"/>
        <v>-646.01237946894048</v>
      </c>
      <c r="I124" s="1">
        <f t="shared" si="9"/>
        <v>-484.69065718871474</v>
      </c>
    </row>
    <row r="125" spans="1:9" x14ac:dyDescent="0.25">
      <c r="A125" s="12">
        <f t="shared" si="10"/>
        <v>110</v>
      </c>
      <c r="B125" s="13">
        <f t="shared" si="11"/>
        <v>310.85626505184223</v>
      </c>
      <c r="C125" s="13">
        <f t="shared" si="12"/>
        <v>335.15611441709825</v>
      </c>
      <c r="D125" s="13">
        <f t="shared" si="8"/>
        <v>646.01237946894048</v>
      </c>
      <c r="E125" s="13">
        <f t="shared" si="15"/>
        <v>32064.070661355559</v>
      </c>
      <c r="F125" s="13">
        <f t="shared" si="13"/>
        <v>117935.92933864449</v>
      </c>
      <c r="H125" s="5">
        <f t="shared" si="14"/>
        <v>-646.01237946894048</v>
      </c>
      <c r="I125" s="1">
        <f t="shared" si="9"/>
        <v>-483.41476692178293</v>
      </c>
    </row>
    <row r="126" spans="1:9" x14ac:dyDescent="0.25">
      <c r="A126" s="12">
        <f t="shared" si="10"/>
        <v>111</v>
      </c>
      <c r="B126" s="13">
        <f t="shared" si="11"/>
        <v>309.97536184935717</v>
      </c>
      <c r="C126" s="13">
        <f t="shared" si="12"/>
        <v>336.03701761958331</v>
      </c>
      <c r="D126" s="13">
        <f t="shared" si="8"/>
        <v>646.01237946894048</v>
      </c>
      <c r="E126" s="13">
        <f t="shared" si="15"/>
        <v>32400.107678975142</v>
      </c>
      <c r="F126" s="13">
        <f t="shared" si="13"/>
        <v>117599.8923210249</v>
      </c>
      <c r="H126" s="5">
        <f t="shared" si="14"/>
        <v>-646.01237946894048</v>
      </c>
      <c r="I126" s="1">
        <f t="shared" si="9"/>
        <v>-482.14223528359537</v>
      </c>
    </row>
    <row r="127" spans="1:9" x14ac:dyDescent="0.25">
      <c r="A127" s="12">
        <f t="shared" si="10"/>
        <v>112</v>
      </c>
      <c r="B127" s="13">
        <f t="shared" si="11"/>
        <v>309.09214333642785</v>
      </c>
      <c r="C127" s="13">
        <f t="shared" si="12"/>
        <v>336.92023613251263</v>
      </c>
      <c r="D127" s="13">
        <f t="shared" si="8"/>
        <v>646.01237946894048</v>
      </c>
      <c r="E127" s="13">
        <f t="shared" si="15"/>
        <v>32737.027915107654</v>
      </c>
      <c r="F127" s="13">
        <f t="shared" si="13"/>
        <v>117262.97208489239</v>
      </c>
      <c r="H127" s="5">
        <f t="shared" si="14"/>
        <v>-646.01237946894048</v>
      </c>
      <c r="I127" s="1">
        <f t="shared" si="9"/>
        <v>-480.87305343296282</v>
      </c>
    </row>
    <row r="128" spans="1:9" x14ac:dyDescent="0.25">
      <c r="A128" s="12">
        <f t="shared" si="10"/>
        <v>113</v>
      </c>
      <c r="B128" s="13">
        <f t="shared" si="11"/>
        <v>308.20660342763841</v>
      </c>
      <c r="C128" s="13">
        <f t="shared" si="12"/>
        <v>337.80577604130207</v>
      </c>
      <c r="D128" s="13">
        <f t="shared" si="8"/>
        <v>646.01237946894048</v>
      </c>
      <c r="E128" s="13">
        <f t="shared" si="15"/>
        <v>33074.833691148953</v>
      </c>
      <c r="F128" s="13">
        <f t="shared" si="13"/>
        <v>116925.16630885108</v>
      </c>
      <c r="H128" s="5">
        <f t="shared" si="14"/>
        <v>-646.01237946894048</v>
      </c>
      <c r="I128" s="1">
        <f t="shared" si="9"/>
        <v>-479.60721255196978</v>
      </c>
    </row>
    <row r="129" spans="1:9" x14ac:dyDescent="0.25">
      <c r="A129" s="12">
        <f t="shared" si="10"/>
        <v>114</v>
      </c>
      <c r="B129" s="13">
        <f t="shared" si="11"/>
        <v>307.31873602157816</v>
      </c>
      <c r="C129" s="13">
        <f t="shared" si="12"/>
        <v>338.69364344736232</v>
      </c>
      <c r="D129" s="13">
        <f t="shared" si="8"/>
        <v>646.01237946894048</v>
      </c>
      <c r="E129" s="13">
        <f t="shared" si="15"/>
        <v>33413.527334596314</v>
      </c>
      <c r="F129" s="13">
        <f t="shared" si="13"/>
        <v>116586.47266540372</v>
      </c>
      <c r="H129" s="5">
        <f t="shared" si="14"/>
        <v>-646.01237946894048</v>
      </c>
      <c r="I129" s="1">
        <f t="shared" si="9"/>
        <v>-478.34470384591259</v>
      </c>
    </row>
    <row r="130" spans="1:9" x14ac:dyDescent="0.25">
      <c r="A130" s="12">
        <f t="shared" si="10"/>
        <v>115</v>
      </c>
      <c r="B130" s="13">
        <f t="shared" si="11"/>
        <v>306.42853500080008</v>
      </c>
      <c r="C130" s="13">
        <f t="shared" si="12"/>
        <v>339.5838444681404</v>
      </c>
      <c r="D130" s="13">
        <f t="shared" si="8"/>
        <v>646.01237946894048</v>
      </c>
      <c r="E130" s="13">
        <f t="shared" si="15"/>
        <v>33753.111179064457</v>
      </c>
      <c r="F130" s="13">
        <f t="shared" si="13"/>
        <v>116246.88882093558</v>
      </c>
      <c r="H130" s="5">
        <f t="shared" si="14"/>
        <v>-646.01237946894048</v>
      </c>
      <c r="I130" s="1">
        <f t="shared" si="9"/>
        <v>-477.08551854323872</v>
      </c>
    </row>
    <row r="131" spans="1:9" x14ac:dyDescent="0.25">
      <c r="A131" s="12">
        <f t="shared" si="10"/>
        <v>116</v>
      </c>
      <c r="B131" s="13">
        <f t="shared" si="11"/>
        <v>305.53599423177832</v>
      </c>
      <c r="C131" s="13">
        <f t="shared" si="12"/>
        <v>340.47638523716216</v>
      </c>
      <c r="D131" s="13">
        <f t="shared" si="8"/>
        <v>646.01237946894048</v>
      </c>
      <c r="E131" s="13">
        <f t="shared" si="15"/>
        <v>34093.587564301619</v>
      </c>
      <c r="F131" s="13">
        <f t="shared" si="13"/>
        <v>115906.41243569841</v>
      </c>
      <c r="H131" s="5">
        <f t="shared" si="14"/>
        <v>-646.01237946894048</v>
      </c>
      <c r="I131" s="1">
        <f t="shared" si="9"/>
        <v>-475.82964789548566</v>
      </c>
    </row>
    <row r="132" spans="1:9" x14ac:dyDescent="0.25">
      <c r="A132" s="12">
        <f t="shared" si="10"/>
        <v>117</v>
      </c>
      <c r="B132" s="13">
        <f t="shared" si="11"/>
        <v>304.6411075648661</v>
      </c>
      <c r="C132" s="13">
        <f t="shared" si="12"/>
        <v>341.37127190407438</v>
      </c>
      <c r="D132" s="13">
        <f t="shared" si="8"/>
        <v>646.01237946894048</v>
      </c>
      <c r="E132" s="13">
        <f t="shared" si="15"/>
        <v>34434.958836205697</v>
      </c>
      <c r="F132" s="13">
        <f t="shared" si="13"/>
        <v>115565.04116379433</v>
      </c>
      <c r="H132" s="5">
        <f t="shared" si="14"/>
        <v>-646.01237946894048</v>
      </c>
      <c r="I132" s="1">
        <f t="shared" si="9"/>
        <v>-474.57708317722029</v>
      </c>
    </row>
    <row r="133" spans="1:9" x14ac:dyDescent="0.25">
      <c r="A133" s="12">
        <f t="shared" si="10"/>
        <v>118</v>
      </c>
      <c r="B133" s="13">
        <f t="shared" si="11"/>
        <v>303.74386883425336</v>
      </c>
      <c r="C133" s="13">
        <f t="shared" si="12"/>
        <v>342.26851063468712</v>
      </c>
      <c r="D133" s="13">
        <f t="shared" si="8"/>
        <v>646.01237946894048</v>
      </c>
      <c r="E133" s="13">
        <f t="shared" si="15"/>
        <v>34777.227346840387</v>
      </c>
      <c r="F133" s="13">
        <f t="shared" si="13"/>
        <v>115222.77265315964</v>
      </c>
      <c r="H133" s="5">
        <f t="shared" si="14"/>
        <v>-646.01237946894048</v>
      </c>
      <c r="I133" s="1">
        <f t="shared" si="9"/>
        <v>-473.32781568597812</v>
      </c>
    </row>
    <row r="134" spans="1:9" x14ac:dyDescent="0.25">
      <c r="A134" s="12">
        <f t="shared" si="10"/>
        <v>119</v>
      </c>
      <c r="B134" s="13">
        <f t="shared" si="11"/>
        <v>302.84427185792407</v>
      </c>
      <c r="C134" s="13">
        <f t="shared" si="12"/>
        <v>343.16810761101641</v>
      </c>
      <c r="D134" s="13">
        <f t="shared" si="8"/>
        <v>646.01237946894048</v>
      </c>
      <c r="E134" s="13">
        <f t="shared" si="15"/>
        <v>35120.395454451405</v>
      </c>
      <c r="F134" s="13">
        <f t="shared" si="13"/>
        <v>114879.60454554863</v>
      </c>
      <c r="H134" s="5">
        <f t="shared" si="14"/>
        <v>-646.01237946894048</v>
      </c>
      <c r="I134" s="1">
        <f t="shared" si="9"/>
        <v>-472.0818367422026</v>
      </c>
    </row>
    <row r="135" spans="1:9" x14ac:dyDescent="0.25">
      <c r="A135" s="12">
        <f t="shared" si="10"/>
        <v>120</v>
      </c>
      <c r="B135" s="13">
        <f t="shared" si="11"/>
        <v>301.94231043761391</v>
      </c>
      <c r="C135" s="13">
        <f t="shared" si="12"/>
        <v>344.07006903132657</v>
      </c>
      <c r="D135" s="13">
        <f t="shared" si="8"/>
        <v>646.01237946894048</v>
      </c>
      <c r="E135" s="13">
        <f t="shared" si="15"/>
        <v>35464.46552348273</v>
      </c>
      <c r="F135" s="13">
        <f t="shared" si="13"/>
        <v>114535.53447651731</v>
      </c>
      <c r="H135" s="5">
        <f t="shared" si="14"/>
        <v>-646.01237946894048</v>
      </c>
      <c r="I135" s="1">
        <f t="shared" si="9"/>
        <v>-470.83913768918558</v>
      </c>
    </row>
    <row r="136" spans="1:9" x14ac:dyDescent="0.25">
      <c r="A136" s="12">
        <f t="shared" si="10"/>
        <v>121</v>
      </c>
      <c r="B136" s="13">
        <f t="shared" si="11"/>
        <v>301.03797835876736</v>
      </c>
      <c r="C136" s="13">
        <f t="shared" si="12"/>
        <v>344.97440111017312</v>
      </c>
      <c r="D136" s="13">
        <f t="shared" si="8"/>
        <v>646.01237946894048</v>
      </c>
      <c r="E136" s="13">
        <f t="shared" si="15"/>
        <v>35809.439924592902</v>
      </c>
      <c r="F136" s="13">
        <f t="shared" si="13"/>
        <v>114190.56007540713</v>
      </c>
      <c r="H136" s="5">
        <f t="shared" si="14"/>
        <v>-646.01237946894048</v>
      </c>
      <c r="I136" s="1">
        <f t="shared" si="9"/>
        <v>-469.59970989300615</v>
      </c>
    </row>
    <row r="137" spans="1:9" x14ac:dyDescent="0.25">
      <c r="A137" s="12">
        <f t="shared" si="10"/>
        <v>122</v>
      </c>
      <c r="B137" s="13">
        <f t="shared" si="11"/>
        <v>300.13126939049494</v>
      </c>
      <c r="C137" s="13">
        <f t="shared" si="12"/>
        <v>345.88111007844554</v>
      </c>
      <c r="D137" s="13">
        <f t="shared" si="8"/>
        <v>646.01237946894048</v>
      </c>
      <c r="E137" s="13">
        <f t="shared" si="15"/>
        <v>36155.321034671346</v>
      </c>
      <c r="F137" s="13">
        <f t="shared" si="13"/>
        <v>113844.67896532868</v>
      </c>
      <c r="H137" s="5">
        <f t="shared" si="14"/>
        <v>-646.01237946894048</v>
      </c>
      <c r="I137" s="1">
        <f t="shared" si="9"/>
        <v>-468.36354474247139</v>
      </c>
    </row>
    <row r="138" spans="1:9" x14ac:dyDescent="0.25">
      <c r="A138" s="12">
        <f t="shared" si="10"/>
        <v>123</v>
      </c>
      <c r="B138" s="13">
        <f t="shared" si="11"/>
        <v>299.22217728553034</v>
      </c>
      <c r="C138" s="13">
        <f t="shared" si="12"/>
        <v>346.79020218341014</v>
      </c>
      <c r="D138" s="13">
        <f t="shared" si="8"/>
        <v>646.01237946894048</v>
      </c>
      <c r="E138" s="13">
        <f t="shared" si="15"/>
        <v>36502.111236854755</v>
      </c>
      <c r="F138" s="13">
        <f t="shared" si="13"/>
        <v>113497.88876314527</v>
      </c>
      <c r="H138" s="5">
        <f t="shared" si="14"/>
        <v>-646.01237946894048</v>
      </c>
      <c r="I138" s="1">
        <f t="shared" si="9"/>
        <v>-467.13063364905634</v>
      </c>
    </row>
    <row r="139" spans="1:9" x14ac:dyDescent="0.25">
      <c r="A139" s="12">
        <f t="shared" si="10"/>
        <v>124</v>
      </c>
      <c r="B139" s="13">
        <f t="shared" si="11"/>
        <v>298.3106957801873</v>
      </c>
      <c r="C139" s="13">
        <f t="shared" si="12"/>
        <v>347.70168368875318</v>
      </c>
      <c r="D139" s="13">
        <f t="shared" si="8"/>
        <v>646.01237946894048</v>
      </c>
      <c r="E139" s="13">
        <f t="shared" si="15"/>
        <v>36849.812920543511</v>
      </c>
      <c r="F139" s="13">
        <f t="shared" si="13"/>
        <v>113150.18707945652</v>
      </c>
      <c r="H139" s="5">
        <f t="shared" si="14"/>
        <v>-646.01237946894048</v>
      </c>
      <c r="I139" s="1">
        <f t="shared" si="9"/>
        <v>-465.90096804684441</v>
      </c>
    </row>
    <row r="140" spans="1:9" x14ac:dyDescent="0.25">
      <c r="A140" s="12">
        <f t="shared" si="10"/>
        <v>125</v>
      </c>
      <c r="B140" s="13">
        <f t="shared" si="11"/>
        <v>297.39681859431653</v>
      </c>
      <c r="C140" s="13">
        <f t="shared" si="12"/>
        <v>348.61556087462395</v>
      </c>
      <c r="D140" s="13">
        <f t="shared" si="8"/>
        <v>646.01237946894048</v>
      </c>
      <c r="E140" s="13">
        <f t="shared" si="15"/>
        <v>37198.428481418137</v>
      </c>
      <c r="F140" s="13">
        <f t="shared" si="13"/>
        <v>112801.5715185819</v>
      </c>
      <c r="H140" s="5">
        <f t="shared" si="14"/>
        <v>-646.01237946894048</v>
      </c>
      <c r="I140" s="1">
        <f t="shared" si="9"/>
        <v>-464.67453939246741</v>
      </c>
    </row>
    <row r="141" spans="1:9" x14ac:dyDescent="0.25">
      <c r="A141" s="12">
        <f t="shared" si="10"/>
        <v>126</v>
      </c>
      <c r="B141" s="13">
        <f t="shared" si="11"/>
        <v>296.4805394312624</v>
      </c>
      <c r="C141" s="13">
        <f t="shared" si="12"/>
        <v>349.53184003767808</v>
      </c>
      <c r="D141" s="13">
        <f t="shared" si="8"/>
        <v>646.01237946894048</v>
      </c>
      <c r="E141" s="13">
        <f t="shared" si="15"/>
        <v>37547.960321455816</v>
      </c>
      <c r="F141" s="13">
        <f t="shared" si="13"/>
        <v>112452.03967854423</v>
      </c>
      <c r="H141" s="5">
        <f t="shared" si="14"/>
        <v>-646.01237946894048</v>
      </c>
      <c r="I141" s="1">
        <f t="shared" si="9"/>
        <v>-463.45133916504682</v>
      </c>
    </row>
    <row r="142" spans="1:9" x14ac:dyDescent="0.25">
      <c r="A142" s="12">
        <f t="shared" si="10"/>
        <v>127</v>
      </c>
      <c r="B142" s="13">
        <f t="shared" si="11"/>
        <v>295.56185197781946</v>
      </c>
      <c r="C142" s="13">
        <f t="shared" si="12"/>
        <v>350.45052749112102</v>
      </c>
      <c r="D142" s="13">
        <f t="shared" si="8"/>
        <v>646.01237946894048</v>
      </c>
      <c r="E142" s="13">
        <f t="shared" si="15"/>
        <v>37898.410848946936</v>
      </c>
      <c r="F142" s="13">
        <f t="shared" si="13"/>
        <v>112101.58915105311</v>
      </c>
      <c r="H142" s="5">
        <f t="shared" si="14"/>
        <v>-646.01237946894048</v>
      </c>
      <c r="I142" s="1">
        <f t="shared" si="9"/>
        <v>-462.23135886613431</v>
      </c>
    </row>
    <row r="143" spans="1:9" x14ac:dyDescent="0.25">
      <c r="A143" s="12">
        <f t="shared" si="10"/>
        <v>128</v>
      </c>
      <c r="B143" s="13">
        <f t="shared" si="11"/>
        <v>294.64074990418902</v>
      </c>
      <c r="C143" s="13">
        <f t="shared" si="12"/>
        <v>351.37162956475146</v>
      </c>
      <c r="D143" s="13">
        <f t="shared" si="8"/>
        <v>646.01237946894048</v>
      </c>
      <c r="E143" s="13">
        <f t="shared" si="15"/>
        <v>38249.78247851169</v>
      </c>
      <c r="F143" s="13">
        <f t="shared" si="13"/>
        <v>111750.21752148836</v>
      </c>
      <c r="H143" s="5">
        <f t="shared" si="14"/>
        <v>-646.01237946894048</v>
      </c>
      <c r="I143" s="1">
        <f t="shared" si="9"/>
        <v>-461.01459001965264</v>
      </c>
    </row>
    <row r="144" spans="1:9" x14ac:dyDescent="0.25">
      <c r="A144" s="12">
        <f t="shared" si="10"/>
        <v>129</v>
      </c>
      <c r="B144" s="13">
        <f t="shared" si="11"/>
        <v>293.71722686393565</v>
      </c>
      <c r="C144" s="13">
        <f t="shared" si="12"/>
        <v>352.29515260500483</v>
      </c>
      <c r="D144" s="13">
        <f t="shared" ref="D144:D207" si="16">IF(A144&lt;&gt;"",$B$11,"")</f>
        <v>646.01237946894048</v>
      </c>
      <c r="E144" s="13">
        <f t="shared" si="15"/>
        <v>38602.077631116692</v>
      </c>
      <c r="F144" s="13">
        <f t="shared" si="13"/>
        <v>111397.92236888336</v>
      </c>
      <c r="H144" s="5">
        <f t="shared" si="14"/>
        <v>-646.01237946894048</v>
      </c>
      <c r="I144" s="1">
        <f t="shared" ref="I144:I207" si="17">IF(A144&lt;&gt;"",H144*(1+$H$5)^(-A144),"")</f>
        <v>-459.80102417183679</v>
      </c>
    </row>
    <row r="145" spans="1:9" x14ac:dyDescent="0.25">
      <c r="A145" s="12">
        <f t="shared" ref="A145:A208" si="18">IFERROR(IF(A144=$B$10,"",A144+1),"")</f>
        <v>130</v>
      </c>
      <c r="B145" s="13">
        <f t="shared" ref="B145:B208" si="19">IF(A145&lt;&gt;"",F144*$C$9,"")</f>
        <v>292.79127649394326</v>
      </c>
      <c r="C145" s="13">
        <f t="shared" ref="C145:C208" si="20">IF(A145&lt;&gt;"",D145-B145,"")</f>
        <v>353.22110297499722</v>
      </c>
      <c r="D145" s="13">
        <f t="shared" si="16"/>
        <v>646.01237946894048</v>
      </c>
      <c r="E145" s="13">
        <f t="shared" si="15"/>
        <v>38955.298734091688</v>
      </c>
      <c r="F145" s="13">
        <f t="shared" ref="F145:F208" si="21">IF(A145&lt;&gt;"",F144-C145,"")</f>
        <v>111044.70126590836</v>
      </c>
      <c r="H145" s="5">
        <f t="shared" ref="H145:H208" si="22">IF(A145&lt;&gt;"",-D145,"")</f>
        <v>-646.01237946894048</v>
      </c>
      <c r="I145" s="1">
        <f t="shared" si="17"/>
        <v>-458.59065289117547</v>
      </c>
    </row>
    <row r="146" spans="1:9" x14ac:dyDescent="0.25">
      <c r="A146" s="12">
        <f t="shared" si="18"/>
        <v>131</v>
      </c>
      <c r="B146" s="13">
        <f t="shared" si="19"/>
        <v>291.86289241437146</v>
      </c>
      <c r="C146" s="13">
        <f t="shared" si="20"/>
        <v>354.14948705456902</v>
      </c>
      <c r="D146" s="13">
        <f t="shared" si="16"/>
        <v>646.01237946894048</v>
      </c>
      <c r="E146" s="13">
        <f t="shared" ref="E146:E209" si="23">IF(A146&lt;&gt;"",E145+C146,"")</f>
        <v>39309.44822114626</v>
      </c>
      <c r="F146" s="13">
        <f t="shared" si="21"/>
        <v>110690.55177885378</v>
      </c>
      <c r="H146" s="5">
        <f t="shared" si="22"/>
        <v>-646.01237946894048</v>
      </c>
      <c r="I146" s="1">
        <f t="shared" si="17"/>
        <v>-457.38346776835203</v>
      </c>
    </row>
    <row r="147" spans="1:9" x14ac:dyDescent="0.25">
      <c r="A147" s="12">
        <f t="shared" si="18"/>
        <v>132</v>
      </c>
      <c r="B147" s="13">
        <f t="shared" si="19"/>
        <v>290.93206822861134</v>
      </c>
      <c r="C147" s="13">
        <f t="shared" si="20"/>
        <v>355.08031124032914</v>
      </c>
      <c r="D147" s="13">
        <f t="shared" si="16"/>
        <v>646.01237946894048</v>
      </c>
      <c r="E147" s="13">
        <f t="shared" si="23"/>
        <v>39664.52853238659</v>
      </c>
      <c r="F147" s="13">
        <f t="shared" si="21"/>
        <v>110335.47146761346</v>
      </c>
      <c r="H147" s="5">
        <f t="shared" si="22"/>
        <v>-646.01237946894048</v>
      </c>
      <c r="I147" s="1">
        <f t="shared" si="17"/>
        <v>-456.17946041618654</v>
      </c>
    </row>
    <row r="148" spans="1:9" x14ac:dyDescent="0.25">
      <c r="A148" s="12">
        <f t="shared" si="18"/>
        <v>133</v>
      </c>
      <c r="B148" s="13">
        <f t="shared" si="19"/>
        <v>289.99879752324171</v>
      </c>
      <c r="C148" s="13">
        <f t="shared" si="20"/>
        <v>356.01358194569877</v>
      </c>
      <c r="D148" s="13">
        <f t="shared" si="16"/>
        <v>646.01237946894048</v>
      </c>
      <c r="E148" s="13">
        <f t="shared" si="23"/>
        <v>40020.542114332289</v>
      </c>
      <c r="F148" s="13">
        <f t="shared" si="21"/>
        <v>109979.45788566777</v>
      </c>
      <c r="H148" s="5">
        <f t="shared" si="22"/>
        <v>-646.01237946894048</v>
      </c>
      <c r="I148" s="1">
        <f t="shared" si="17"/>
        <v>-454.97862246957715</v>
      </c>
    </row>
    <row r="149" spans="1:9" x14ac:dyDescent="0.25">
      <c r="A149" s="12">
        <f t="shared" si="18"/>
        <v>134</v>
      </c>
      <c r="B149" s="13">
        <f t="shared" si="19"/>
        <v>289.0630738679846</v>
      </c>
      <c r="C149" s="13">
        <f t="shared" si="20"/>
        <v>356.94930560095588</v>
      </c>
      <c r="D149" s="13">
        <f t="shared" si="16"/>
        <v>646.01237946894048</v>
      </c>
      <c r="E149" s="13">
        <f t="shared" si="23"/>
        <v>40377.491419933242</v>
      </c>
      <c r="F149" s="13">
        <f t="shared" si="21"/>
        <v>109622.50858006682</v>
      </c>
      <c r="H149" s="5">
        <f t="shared" si="22"/>
        <v>-646.01237946894048</v>
      </c>
      <c r="I149" s="1">
        <f t="shared" si="17"/>
        <v>-453.78094558544251</v>
      </c>
    </row>
    <row r="150" spans="1:9" x14ac:dyDescent="0.25">
      <c r="A150" s="12">
        <f t="shared" si="18"/>
        <v>135</v>
      </c>
      <c r="B150" s="13">
        <f t="shared" si="19"/>
        <v>288.12489081566116</v>
      </c>
      <c r="C150" s="13">
        <f t="shared" si="20"/>
        <v>357.88748865327932</v>
      </c>
      <c r="D150" s="13">
        <f t="shared" si="16"/>
        <v>646.01237946894048</v>
      </c>
      <c r="E150" s="13">
        <f t="shared" si="23"/>
        <v>40735.378908586521</v>
      </c>
      <c r="F150" s="13">
        <f t="shared" si="21"/>
        <v>109264.62109141354</v>
      </c>
      <c r="H150" s="5">
        <f t="shared" si="22"/>
        <v>-646.01237946894048</v>
      </c>
      <c r="I150" s="1">
        <f t="shared" si="17"/>
        <v>-452.58642144266304</v>
      </c>
    </row>
    <row r="151" spans="1:9" x14ac:dyDescent="0.25">
      <c r="A151" s="12">
        <f t="shared" si="18"/>
        <v>136</v>
      </c>
      <c r="B151" s="13">
        <f t="shared" si="19"/>
        <v>287.18424190214716</v>
      </c>
      <c r="C151" s="13">
        <f t="shared" si="20"/>
        <v>358.82813756679332</v>
      </c>
      <c r="D151" s="13">
        <f t="shared" si="16"/>
        <v>646.01237946894048</v>
      </c>
      <c r="E151" s="13">
        <f t="shared" si="23"/>
        <v>41094.207046153315</v>
      </c>
      <c r="F151" s="13">
        <f t="shared" si="21"/>
        <v>108905.79295384676</v>
      </c>
      <c r="H151" s="5">
        <f t="shared" si="22"/>
        <v>-646.01237946894048</v>
      </c>
      <c r="I151" s="1">
        <f t="shared" si="17"/>
        <v>-451.39504174202375</v>
      </c>
    </row>
    <row r="152" spans="1:9" x14ac:dyDescent="0.25">
      <c r="A152" s="12">
        <f t="shared" si="18"/>
        <v>137</v>
      </c>
      <c r="B152" s="13">
        <f t="shared" si="19"/>
        <v>286.24112064632857</v>
      </c>
      <c r="C152" s="13">
        <f t="shared" si="20"/>
        <v>359.77125882261191</v>
      </c>
      <c r="D152" s="13">
        <f t="shared" si="16"/>
        <v>646.01237946894048</v>
      </c>
      <c r="E152" s="13">
        <f t="shared" si="23"/>
        <v>41453.978304975928</v>
      </c>
      <c r="F152" s="13">
        <f t="shared" si="21"/>
        <v>108546.02169502414</v>
      </c>
      <c r="H152" s="5">
        <f t="shared" si="22"/>
        <v>-646.01237946894048</v>
      </c>
      <c r="I152" s="1">
        <f t="shared" si="17"/>
        <v>-450.20679820615618</v>
      </c>
    </row>
    <row r="153" spans="1:9" x14ac:dyDescent="0.25">
      <c r="A153" s="12">
        <f t="shared" si="18"/>
        <v>138</v>
      </c>
      <c r="B153" s="13">
        <f t="shared" si="19"/>
        <v>285.29552055005666</v>
      </c>
      <c r="C153" s="13">
        <f t="shared" si="20"/>
        <v>360.71685891888382</v>
      </c>
      <c r="D153" s="13">
        <f t="shared" si="16"/>
        <v>646.01237946894048</v>
      </c>
      <c r="E153" s="13">
        <f t="shared" si="23"/>
        <v>41814.695163894809</v>
      </c>
      <c r="F153" s="13">
        <f t="shared" si="21"/>
        <v>108185.30483610526</v>
      </c>
      <c r="H153" s="5">
        <f t="shared" si="22"/>
        <v>-646.01237946894048</v>
      </c>
      <c r="I153" s="1">
        <f t="shared" si="17"/>
        <v>-449.02168257948108</v>
      </c>
    </row>
    <row r="154" spans="1:9" x14ac:dyDescent="0.25">
      <c r="A154" s="12">
        <f t="shared" si="18"/>
        <v>139</v>
      </c>
      <c r="B154" s="13">
        <f t="shared" si="19"/>
        <v>284.34743509810352</v>
      </c>
      <c r="C154" s="13">
        <f t="shared" si="20"/>
        <v>361.66494437083696</v>
      </c>
      <c r="D154" s="13">
        <f t="shared" si="16"/>
        <v>646.01237946894048</v>
      </c>
      <c r="E154" s="13">
        <f t="shared" si="23"/>
        <v>42176.360108265646</v>
      </c>
      <c r="F154" s="13">
        <f t="shared" si="21"/>
        <v>107823.63989173443</v>
      </c>
      <c r="H154" s="5">
        <f t="shared" si="22"/>
        <v>-646.01237946894048</v>
      </c>
      <c r="I154" s="1">
        <f t="shared" si="17"/>
        <v>-447.83968662815118</v>
      </c>
    </row>
    <row r="155" spans="1:9" x14ac:dyDescent="0.25">
      <c r="A155" s="12">
        <f t="shared" si="18"/>
        <v>140</v>
      </c>
      <c r="B155" s="13">
        <f t="shared" si="19"/>
        <v>283.39685775811694</v>
      </c>
      <c r="C155" s="13">
        <f t="shared" si="20"/>
        <v>362.61552171082354</v>
      </c>
      <c r="D155" s="13">
        <f t="shared" si="16"/>
        <v>646.01237946894048</v>
      </c>
      <c r="E155" s="13">
        <f t="shared" si="23"/>
        <v>42538.97562997647</v>
      </c>
      <c r="F155" s="13">
        <f t="shared" si="21"/>
        <v>107461.02437002362</v>
      </c>
      <c r="H155" s="5">
        <f t="shared" si="22"/>
        <v>-646.01237946894048</v>
      </c>
      <c r="I155" s="1">
        <f t="shared" si="17"/>
        <v>-446.66080213999368</v>
      </c>
    </row>
    <row r="156" spans="1:9" x14ac:dyDescent="0.25">
      <c r="A156" s="12">
        <f t="shared" si="18"/>
        <v>141</v>
      </c>
      <c r="B156" s="13">
        <f t="shared" si="19"/>
        <v>282.44378198057547</v>
      </c>
      <c r="C156" s="13">
        <f t="shared" si="20"/>
        <v>363.56859748836501</v>
      </c>
      <c r="D156" s="13">
        <f t="shared" si="16"/>
        <v>646.01237946894048</v>
      </c>
      <c r="E156" s="13">
        <f t="shared" si="23"/>
        <v>42902.544227464838</v>
      </c>
      <c r="F156" s="13">
        <f t="shared" si="21"/>
        <v>107097.45577253525</v>
      </c>
      <c r="H156" s="5">
        <f t="shared" si="22"/>
        <v>-646.01237946894048</v>
      </c>
      <c r="I156" s="1">
        <f t="shared" si="17"/>
        <v>-445.48502092445341</v>
      </c>
    </row>
    <row r="157" spans="1:9" x14ac:dyDescent="0.25">
      <c r="A157" s="12">
        <f t="shared" si="18"/>
        <v>142</v>
      </c>
      <c r="B157" s="13">
        <f t="shared" si="19"/>
        <v>281.48820119874335</v>
      </c>
      <c r="C157" s="13">
        <f t="shared" si="20"/>
        <v>364.52417827019713</v>
      </c>
      <c r="D157" s="13">
        <f t="shared" si="16"/>
        <v>646.01237946894048</v>
      </c>
      <c r="E157" s="13">
        <f t="shared" si="23"/>
        <v>43267.068405735037</v>
      </c>
      <c r="F157" s="13">
        <f t="shared" si="21"/>
        <v>106732.93159426506</v>
      </c>
      <c r="H157" s="5">
        <f t="shared" si="22"/>
        <v>-646.01237946894048</v>
      </c>
      <c r="I157" s="1">
        <f t="shared" si="17"/>
        <v>-444.31233481253588</v>
      </c>
    </row>
    <row r="158" spans="1:9" x14ac:dyDescent="0.25">
      <c r="A158" s="12">
        <f t="shared" si="18"/>
        <v>143</v>
      </c>
      <c r="B158" s="13">
        <f t="shared" si="19"/>
        <v>280.53010882862526</v>
      </c>
      <c r="C158" s="13">
        <f t="shared" si="20"/>
        <v>365.48227064031522</v>
      </c>
      <c r="D158" s="13">
        <f t="shared" si="16"/>
        <v>646.01237946894048</v>
      </c>
      <c r="E158" s="13">
        <f t="shared" si="23"/>
        <v>43632.550676375351</v>
      </c>
      <c r="F158" s="13">
        <f t="shared" si="21"/>
        <v>106367.44932362474</v>
      </c>
      <c r="H158" s="5">
        <f t="shared" si="22"/>
        <v>-646.01237946894048</v>
      </c>
      <c r="I158" s="1">
        <f t="shared" si="17"/>
        <v>-443.14273565675046</v>
      </c>
    </row>
    <row r="159" spans="1:9" x14ac:dyDescent="0.25">
      <c r="A159" s="12">
        <f t="shared" si="18"/>
        <v>144</v>
      </c>
      <c r="B159" s="13">
        <f t="shared" si="19"/>
        <v>279.56949826892082</v>
      </c>
      <c r="C159" s="13">
        <f t="shared" si="20"/>
        <v>366.44288120001966</v>
      </c>
      <c r="D159" s="13">
        <f t="shared" si="16"/>
        <v>646.01237946894048</v>
      </c>
      <c r="E159" s="13">
        <f t="shared" si="23"/>
        <v>43998.99355757537</v>
      </c>
      <c r="F159" s="13">
        <f t="shared" si="21"/>
        <v>106001.00644242471</v>
      </c>
      <c r="H159" s="5">
        <f t="shared" si="22"/>
        <v>-646.01237946894048</v>
      </c>
      <c r="I159" s="1">
        <f t="shared" si="17"/>
        <v>-441.97621533105365</v>
      </c>
    </row>
    <row r="160" spans="1:9" x14ac:dyDescent="0.25">
      <c r="A160" s="12">
        <f t="shared" si="18"/>
        <v>145</v>
      </c>
      <c r="B160" s="13">
        <f t="shared" si="19"/>
        <v>278.60636290097932</v>
      </c>
      <c r="C160" s="13">
        <f t="shared" si="20"/>
        <v>367.40601656796116</v>
      </c>
      <c r="D160" s="13">
        <f t="shared" si="16"/>
        <v>646.01237946894048</v>
      </c>
      <c r="E160" s="13">
        <f t="shared" si="23"/>
        <v>44366.399574143332</v>
      </c>
      <c r="F160" s="13">
        <f t="shared" si="21"/>
        <v>105633.60042585676</v>
      </c>
      <c r="H160" s="5">
        <f t="shared" si="22"/>
        <v>-646.01237946894048</v>
      </c>
      <c r="I160" s="1">
        <f t="shared" si="17"/>
        <v>-440.81276573079305</v>
      </c>
    </row>
    <row r="161" spans="1:9" x14ac:dyDescent="0.25">
      <c r="A161" s="12">
        <f t="shared" si="18"/>
        <v>146</v>
      </c>
      <c r="B161" s="13">
        <f t="shared" si="19"/>
        <v>277.64069608875394</v>
      </c>
      <c r="C161" s="13">
        <f t="shared" si="20"/>
        <v>368.37168338018654</v>
      </c>
      <c r="D161" s="13">
        <f t="shared" si="16"/>
        <v>646.01237946894048</v>
      </c>
      <c r="E161" s="13">
        <f t="shared" si="23"/>
        <v>44734.77125752352</v>
      </c>
      <c r="F161" s="13">
        <f t="shared" si="21"/>
        <v>105265.22874247657</v>
      </c>
      <c r="H161" s="5">
        <f t="shared" si="22"/>
        <v>-646.01237946894048</v>
      </c>
      <c r="I161" s="1">
        <f t="shared" si="17"/>
        <v>-439.65237877265082</v>
      </c>
    </row>
    <row r="162" spans="1:9" x14ac:dyDescent="0.25">
      <c r="A162" s="12">
        <f t="shared" si="18"/>
        <v>147</v>
      </c>
      <c r="B162" s="13">
        <f t="shared" si="19"/>
        <v>276.67249117875616</v>
      </c>
      <c r="C162" s="13">
        <f t="shared" si="20"/>
        <v>369.33988829018432</v>
      </c>
      <c r="D162" s="13">
        <f t="shared" si="16"/>
        <v>646.01237946894048</v>
      </c>
      <c r="E162" s="13">
        <f t="shared" si="23"/>
        <v>45104.111145813702</v>
      </c>
      <c r="F162" s="13">
        <f t="shared" si="21"/>
        <v>104895.88885418639</v>
      </c>
      <c r="H162" s="5">
        <f t="shared" si="22"/>
        <v>-646.01237946894048</v>
      </c>
      <c r="I162" s="1">
        <f t="shared" si="17"/>
        <v>-438.49504639458718</v>
      </c>
    </row>
    <row r="163" spans="1:9" x14ac:dyDescent="0.25">
      <c r="A163" s="12">
        <f t="shared" si="18"/>
        <v>148</v>
      </c>
      <c r="B163" s="13">
        <f t="shared" si="19"/>
        <v>275.70174150000969</v>
      </c>
      <c r="C163" s="13">
        <f t="shared" si="20"/>
        <v>370.31063796893079</v>
      </c>
      <c r="D163" s="13">
        <f t="shared" si="16"/>
        <v>646.01237946894048</v>
      </c>
      <c r="E163" s="13">
        <f t="shared" si="23"/>
        <v>45474.421783782636</v>
      </c>
      <c r="F163" s="13">
        <f t="shared" si="21"/>
        <v>104525.57821621746</v>
      </c>
      <c r="H163" s="5">
        <f t="shared" si="22"/>
        <v>-646.01237946894048</v>
      </c>
      <c r="I163" s="1">
        <f t="shared" si="17"/>
        <v>-437.34076055578498</v>
      </c>
    </row>
    <row r="164" spans="1:9" x14ac:dyDescent="0.25">
      <c r="A164" s="12">
        <f t="shared" si="18"/>
        <v>149</v>
      </c>
      <c r="B164" s="13">
        <f t="shared" si="19"/>
        <v>274.72844036400494</v>
      </c>
      <c r="C164" s="13">
        <f t="shared" si="20"/>
        <v>371.28393910493554</v>
      </c>
      <c r="D164" s="13">
        <f t="shared" si="16"/>
        <v>646.01237946894048</v>
      </c>
      <c r="E164" s="13">
        <f t="shared" si="23"/>
        <v>45845.705722887571</v>
      </c>
      <c r="F164" s="13">
        <f t="shared" si="21"/>
        <v>104154.29427711252</v>
      </c>
      <c r="H164" s="5">
        <f t="shared" si="22"/>
        <v>-646.01237946894048</v>
      </c>
      <c r="I164" s="1">
        <f t="shared" si="17"/>
        <v>-436.18951323659348</v>
      </c>
    </row>
    <row r="165" spans="1:9" x14ac:dyDescent="0.25">
      <c r="A165" s="12">
        <f t="shared" si="18"/>
        <v>150</v>
      </c>
      <c r="B165" s="13">
        <f t="shared" si="19"/>
        <v>273.7525810646523</v>
      </c>
      <c r="C165" s="13">
        <f t="shared" si="20"/>
        <v>372.25979840428818</v>
      </c>
      <c r="D165" s="13">
        <f t="shared" si="16"/>
        <v>646.01237946894048</v>
      </c>
      <c r="E165" s="13">
        <f t="shared" si="23"/>
        <v>46217.965521291859</v>
      </c>
      <c r="F165" s="13">
        <f t="shared" si="21"/>
        <v>103782.03447870823</v>
      </c>
      <c r="H165" s="5">
        <f t="shared" si="22"/>
        <v>-646.01237946894048</v>
      </c>
      <c r="I165" s="1">
        <f t="shared" si="17"/>
        <v>-435.04129643847267</v>
      </c>
    </row>
    <row r="166" spans="1:9" x14ac:dyDescent="0.25">
      <c r="A166" s="12">
        <f t="shared" si="18"/>
        <v>151</v>
      </c>
      <c r="B166" s="13">
        <f t="shared" si="19"/>
        <v>272.77415687823662</v>
      </c>
      <c r="C166" s="13">
        <f t="shared" si="20"/>
        <v>373.23822259070386</v>
      </c>
      <c r="D166" s="13">
        <f t="shared" si="16"/>
        <v>646.01237946894048</v>
      </c>
      <c r="E166" s="13">
        <f t="shared" si="23"/>
        <v>46591.203743882565</v>
      </c>
      <c r="F166" s="13">
        <f t="shared" si="21"/>
        <v>103408.79625611752</v>
      </c>
      <c r="H166" s="5">
        <f t="shared" si="22"/>
        <v>-646.01237946894048</v>
      </c>
      <c r="I166" s="1">
        <f t="shared" si="17"/>
        <v>-433.89610218393796</v>
      </c>
    </row>
    <row r="167" spans="1:9" x14ac:dyDescent="0.25">
      <c r="A167" s="12">
        <f t="shared" si="18"/>
        <v>152</v>
      </c>
      <c r="B167" s="13">
        <f t="shared" si="19"/>
        <v>271.79316106337046</v>
      </c>
      <c r="C167" s="13">
        <f t="shared" si="20"/>
        <v>374.21921840557002</v>
      </c>
      <c r="D167" s="13">
        <f t="shared" si="16"/>
        <v>646.01237946894048</v>
      </c>
      <c r="E167" s="13">
        <f t="shared" si="23"/>
        <v>46965.422962288132</v>
      </c>
      <c r="F167" s="13">
        <f t="shared" si="21"/>
        <v>103034.57703771195</v>
      </c>
      <c r="H167" s="5">
        <f t="shared" si="22"/>
        <v>-646.01237946894048</v>
      </c>
      <c r="I167" s="1">
        <f t="shared" si="17"/>
        <v>-432.75392251650402</v>
      </c>
    </row>
    <row r="168" spans="1:9" x14ac:dyDescent="0.25">
      <c r="A168" s="12">
        <f t="shared" si="18"/>
        <v>153</v>
      </c>
      <c r="B168" s="13">
        <f t="shared" si="19"/>
        <v>270.8095868609476</v>
      </c>
      <c r="C168" s="13">
        <f t="shared" si="20"/>
        <v>375.20279260799288</v>
      </c>
      <c r="D168" s="13">
        <f t="shared" si="16"/>
        <v>646.01237946894048</v>
      </c>
      <c r="E168" s="13">
        <f t="shared" si="23"/>
        <v>47340.625754896122</v>
      </c>
      <c r="F168" s="13">
        <f t="shared" si="21"/>
        <v>102659.37424510396</v>
      </c>
      <c r="H168" s="5">
        <f t="shared" si="22"/>
        <v>-646.01237946894048</v>
      </c>
      <c r="I168" s="1">
        <f t="shared" si="17"/>
        <v>-431.61474950063064</v>
      </c>
    </row>
    <row r="169" spans="1:9" x14ac:dyDescent="0.25">
      <c r="A169" s="12">
        <f t="shared" si="18"/>
        <v>154</v>
      </c>
      <c r="B169" s="13">
        <f t="shared" si="19"/>
        <v>269.8234274940969</v>
      </c>
      <c r="C169" s="13">
        <f t="shared" si="20"/>
        <v>376.18895197484358</v>
      </c>
      <c r="D169" s="13">
        <f t="shared" si="16"/>
        <v>646.01237946894048</v>
      </c>
      <c r="E169" s="13">
        <f t="shared" si="23"/>
        <v>47716.814706870966</v>
      </c>
      <c r="F169" s="13">
        <f t="shared" si="21"/>
        <v>102283.18529312912</v>
      </c>
      <c r="H169" s="5">
        <f t="shared" si="22"/>
        <v>-646.01237946894048</v>
      </c>
      <c r="I169" s="1">
        <f t="shared" si="17"/>
        <v>-430.47857522166646</v>
      </c>
    </row>
    <row r="170" spans="1:9" x14ac:dyDescent="0.25">
      <c r="A170" s="12">
        <f t="shared" si="18"/>
        <v>155</v>
      </c>
      <c r="B170" s="13">
        <f t="shared" si="19"/>
        <v>268.83467616813499</v>
      </c>
      <c r="C170" s="13">
        <f t="shared" si="20"/>
        <v>377.17770330080549</v>
      </c>
      <c r="D170" s="13">
        <f t="shared" si="16"/>
        <v>646.01237946894048</v>
      </c>
      <c r="E170" s="13">
        <f t="shared" si="23"/>
        <v>48093.99241017177</v>
      </c>
      <c r="F170" s="13">
        <f t="shared" si="21"/>
        <v>101906.00758982831</v>
      </c>
      <c r="H170" s="5">
        <f t="shared" si="22"/>
        <v>-646.01237946894048</v>
      </c>
      <c r="I170" s="1">
        <f t="shared" si="17"/>
        <v>-429.34539178579473</v>
      </c>
    </row>
    <row r="171" spans="1:9" x14ac:dyDescent="0.25">
      <c r="A171" s="12">
        <f t="shared" si="18"/>
        <v>156</v>
      </c>
      <c r="B171" s="13">
        <f t="shared" si="19"/>
        <v>267.84332607052005</v>
      </c>
      <c r="C171" s="13">
        <f t="shared" si="20"/>
        <v>378.16905339842043</v>
      </c>
      <c r="D171" s="13">
        <f t="shared" si="16"/>
        <v>646.01237946894048</v>
      </c>
      <c r="E171" s="13">
        <f t="shared" si="23"/>
        <v>48472.161463570192</v>
      </c>
      <c r="F171" s="13">
        <f t="shared" si="21"/>
        <v>101527.83853642989</v>
      </c>
      <c r="H171" s="5">
        <f t="shared" si="22"/>
        <v>-646.01237946894048</v>
      </c>
      <c r="I171" s="1">
        <f t="shared" si="17"/>
        <v>-428.21519131997849</v>
      </c>
    </row>
    <row r="172" spans="1:9" x14ac:dyDescent="0.25">
      <c r="A172" s="12">
        <f t="shared" si="18"/>
        <v>157</v>
      </c>
      <c r="B172" s="13">
        <f t="shared" si="19"/>
        <v>266.84937037080442</v>
      </c>
      <c r="C172" s="13">
        <f t="shared" si="20"/>
        <v>379.16300909813606</v>
      </c>
      <c r="D172" s="13">
        <f t="shared" si="16"/>
        <v>646.01237946894048</v>
      </c>
      <c r="E172" s="13">
        <f t="shared" si="23"/>
        <v>48851.324472668326</v>
      </c>
      <c r="F172" s="13">
        <f t="shared" si="21"/>
        <v>101148.67552733175</v>
      </c>
      <c r="H172" s="5">
        <f t="shared" si="22"/>
        <v>-646.01237946894048</v>
      </c>
      <c r="I172" s="1">
        <f t="shared" si="17"/>
        <v>-427.08796597190508</v>
      </c>
    </row>
    <row r="173" spans="1:9" x14ac:dyDescent="0.25">
      <c r="A173" s="12">
        <f t="shared" si="18"/>
        <v>158</v>
      </c>
      <c r="B173" s="13">
        <f t="shared" si="19"/>
        <v>265.85280222058782</v>
      </c>
      <c r="C173" s="13">
        <f t="shared" si="20"/>
        <v>380.15957724835266</v>
      </c>
      <c r="D173" s="13">
        <f t="shared" si="16"/>
        <v>646.01237946894048</v>
      </c>
      <c r="E173" s="13">
        <f t="shared" si="23"/>
        <v>49231.484049916682</v>
      </c>
      <c r="F173" s="13">
        <f t="shared" si="21"/>
        <v>100768.5159500834</v>
      </c>
      <c r="H173" s="5">
        <f t="shared" si="22"/>
        <v>-646.01237946894048</v>
      </c>
      <c r="I173" s="1">
        <f t="shared" si="17"/>
        <v>-425.96370790993234</v>
      </c>
    </row>
    <row r="174" spans="1:9" x14ac:dyDescent="0.25">
      <c r="A174" s="12">
        <f t="shared" si="18"/>
        <v>159</v>
      </c>
      <c r="B174" s="13">
        <f t="shared" si="19"/>
        <v>264.85361475347008</v>
      </c>
      <c r="C174" s="13">
        <f t="shared" si="20"/>
        <v>381.1587647154704</v>
      </c>
      <c r="D174" s="13">
        <f t="shared" si="16"/>
        <v>646.01237946894048</v>
      </c>
      <c r="E174" s="13">
        <f t="shared" si="23"/>
        <v>49612.642814632156</v>
      </c>
      <c r="F174" s="13">
        <f t="shared" si="21"/>
        <v>100387.35718536793</v>
      </c>
      <c r="H174" s="5">
        <f t="shared" si="22"/>
        <v>-646.01237946894048</v>
      </c>
      <c r="I174" s="1">
        <f t="shared" si="17"/>
        <v>-424.84240932303425</v>
      </c>
    </row>
    <row r="175" spans="1:9" x14ac:dyDescent="0.25">
      <c r="A175" s="12">
        <f t="shared" si="18"/>
        <v>160</v>
      </c>
      <c r="B175" s="13">
        <f t="shared" si="19"/>
        <v>263.85180108500379</v>
      </c>
      <c r="C175" s="13">
        <f t="shared" si="20"/>
        <v>382.16057838393669</v>
      </c>
      <c r="D175" s="13">
        <f t="shared" si="16"/>
        <v>646.01237946894048</v>
      </c>
      <c r="E175" s="13">
        <f t="shared" si="23"/>
        <v>49994.803393016089</v>
      </c>
      <c r="F175" s="13">
        <f t="shared" si="21"/>
        <v>100005.196606984</v>
      </c>
      <c r="H175" s="5">
        <f t="shared" si="22"/>
        <v>-646.01237946894048</v>
      </c>
      <c r="I175" s="1">
        <f t="shared" si="17"/>
        <v>-423.72406242074578</v>
      </c>
    </row>
    <row r="176" spans="1:9" x14ac:dyDescent="0.25">
      <c r="A176" s="12">
        <f t="shared" si="18"/>
        <v>161</v>
      </c>
      <c r="B176" s="13">
        <f t="shared" si="19"/>
        <v>262.84735431264681</v>
      </c>
      <c r="C176" s="13">
        <f t="shared" si="20"/>
        <v>383.16502515629367</v>
      </c>
      <c r="D176" s="13">
        <f t="shared" si="16"/>
        <v>646.01237946894048</v>
      </c>
      <c r="E176" s="13">
        <f t="shared" si="23"/>
        <v>50377.968418172386</v>
      </c>
      <c r="F176" s="13">
        <f t="shared" si="21"/>
        <v>99622.031581827701</v>
      </c>
      <c r="H176" s="5">
        <f t="shared" si="22"/>
        <v>-646.01237946894048</v>
      </c>
      <c r="I176" s="1">
        <f t="shared" si="17"/>
        <v>-422.60865943311012</v>
      </c>
    </row>
    <row r="177" spans="1:9" x14ac:dyDescent="0.25">
      <c r="A177" s="12">
        <f t="shared" si="18"/>
        <v>162</v>
      </c>
      <c r="B177" s="13">
        <f t="shared" si="19"/>
        <v>261.84026751571497</v>
      </c>
      <c r="C177" s="13">
        <f t="shared" si="20"/>
        <v>384.17211195322551</v>
      </c>
      <c r="D177" s="13">
        <f t="shared" si="16"/>
        <v>646.01237946894048</v>
      </c>
      <c r="E177" s="13">
        <f t="shared" si="23"/>
        <v>50762.140530125609</v>
      </c>
      <c r="F177" s="13">
        <f t="shared" si="21"/>
        <v>99237.859469874471</v>
      </c>
      <c r="H177" s="5">
        <f t="shared" si="22"/>
        <v>-646.01237946894048</v>
      </c>
      <c r="I177" s="1">
        <f t="shared" si="17"/>
        <v>-421.49619261062321</v>
      </c>
    </row>
    <row r="178" spans="1:9" x14ac:dyDescent="0.25">
      <c r="A178" s="12">
        <f t="shared" si="18"/>
        <v>163</v>
      </c>
      <c r="B178" s="13">
        <f t="shared" si="19"/>
        <v>260.83053375533399</v>
      </c>
      <c r="C178" s="13">
        <f t="shared" si="20"/>
        <v>385.18184571360649</v>
      </c>
      <c r="D178" s="13">
        <f t="shared" si="16"/>
        <v>646.01237946894048</v>
      </c>
      <c r="E178" s="13">
        <f t="shared" si="23"/>
        <v>51147.322375839212</v>
      </c>
      <c r="F178" s="13">
        <f t="shared" si="21"/>
        <v>98852.67762416086</v>
      </c>
      <c r="H178" s="5">
        <f t="shared" si="22"/>
        <v>-646.01237946894048</v>
      </c>
      <c r="I178" s="1">
        <f t="shared" si="17"/>
        <v>-420.38665422418131</v>
      </c>
    </row>
    <row r="179" spans="1:9" x14ac:dyDescent="0.25">
      <c r="A179" s="12">
        <f t="shared" si="18"/>
        <v>164</v>
      </c>
      <c r="B179" s="13">
        <f t="shared" si="19"/>
        <v>259.81814607439208</v>
      </c>
      <c r="C179" s="13">
        <f t="shared" si="20"/>
        <v>386.19423339454841</v>
      </c>
      <c r="D179" s="13">
        <f t="shared" si="16"/>
        <v>646.01237946894048</v>
      </c>
      <c r="E179" s="13">
        <f t="shared" si="23"/>
        <v>51533.51660923376</v>
      </c>
      <c r="F179" s="13">
        <f t="shared" si="21"/>
        <v>98466.483390766312</v>
      </c>
      <c r="H179" s="5">
        <f t="shared" si="22"/>
        <v>-646.01237946894048</v>
      </c>
      <c r="I179" s="1">
        <f t="shared" si="17"/>
        <v>-419.28003656502591</v>
      </c>
    </row>
    <row r="180" spans="1:9" x14ac:dyDescent="0.25">
      <c r="A180" s="12">
        <f t="shared" si="18"/>
        <v>165</v>
      </c>
      <c r="B180" s="13">
        <f t="shared" si="19"/>
        <v>258.80309749749171</v>
      </c>
      <c r="C180" s="13">
        <f t="shared" si="20"/>
        <v>387.20928197144877</v>
      </c>
      <c r="D180" s="13">
        <f t="shared" si="16"/>
        <v>646.01237946894048</v>
      </c>
      <c r="E180" s="13">
        <f t="shared" si="23"/>
        <v>51920.725891205206</v>
      </c>
      <c r="F180" s="13">
        <f t="shared" si="21"/>
        <v>98079.274108794867</v>
      </c>
      <c r="H180" s="5">
        <f t="shared" si="22"/>
        <v>-646.01237946894048</v>
      </c>
      <c r="I180" s="1">
        <f t="shared" si="17"/>
        <v>-418.17633194469141</v>
      </c>
    </row>
    <row r="181" spans="1:9" x14ac:dyDescent="0.25">
      <c r="A181" s="12">
        <f t="shared" si="18"/>
        <v>166</v>
      </c>
      <c r="B181" s="13">
        <f t="shared" si="19"/>
        <v>257.78538103090176</v>
      </c>
      <c r="C181" s="13">
        <f t="shared" si="20"/>
        <v>388.22699843803872</v>
      </c>
      <c r="D181" s="13">
        <f t="shared" si="16"/>
        <v>646.01237946894048</v>
      </c>
      <c r="E181" s="13">
        <f t="shared" si="23"/>
        <v>52308.952889643246</v>
      </c>
      <c r="F181" s="13">
        <f t="shared" si="21"/>
        <v>97691.047110356827</v>
      </c>
      <c r="H181" s="5">
        <f t="shared" si="22"/>
        <v>-646.01237946894048</v>
      </c>
      <c r="I181" s="1">
        <f t="shared" si="17"/>
        <v>-417.07553269495116</v>
      </c>
    </row>
    <row r="182" spans="1:9" x14ac:dyDescent="0.25">
      <c r="A182" s="12">
        <f t="shared" si="18"/>
        <v>167</v>
      </c>
      <c r="B182" s="13">
        <f t="shared" si="19"/>
        <v>256.76498966250909</v>
      </c>
      <c r="C182" s="13">
        <f t="shared" si="20"/>
        <v>389.24738980643139</v>
      </c>
      <c r="D182" s="13">
        <f t="shared" si="16"/>
        <v>646.01237946894048</v>
      </c>
      <c r="E182" s="13">
        <f t="shared" si="23"/>
        <v>52698.20027944968</v>
      </c>
      <c r="F182" s="13">
        <f t="shared" si="21"/>
        <v>97301.799720550393</v>
      </c>
      <c r="H182" s="5">
        <f t="shared" si="22"/>
        <v>-646.01237946894048</v>
      </c>
      <c r="I182" s="1">
        <f t="shared" si="17"/>
        <v>-415.97763116776395</v>
      </c>
    </row>
    <row r="183" spans="1:9" x14ac:dyDescent="0.25">
      <c r="A183" s="12">
        <f t="shared" si="18"/>
        <v>168</v>
      </c>
      <c r="B183" s="13">
        <f t="shared" si="19"/>
        <v>255.74191636177042</v>
      </c>
      <c r="C183" s="13">
        <f t="shared" si="20"/>
        <v>390.27046310717003</v>
      </c>
      <c r="D183" s="13">
        <f t="shared" si="16"/>
        <v>646.01237946894048</v>
      </c>
      <c r="E183" s="13">
        <f t="shared" si="23"/>
        <v>53088.470742556849</v>
      </c>
      <c r="F183" s="13">
        <f t="shared" si="21"/>
        <v>96911.529257443224</v>
      </c>
      <c r="H183" s="5">
        <f t="shared" si="22"/>
        <v>-646.01237946894048</v>
      </c>
      <c r="I183" s="1">
        <f t="shared" si="17"/>
        <v>-414.88261973522117</v>
      </c>
    </row>
    <row r="184" spans="1:9" x14ac:dyDescent="0.25">
      <c r="A184" s="12">
        <f t="shared" si="18"/>
        <v>169</v>
      </c>
      <c r="B184" s="13">
        <f t="shared" si="19"/>
        <v>254.71615407966391</v>
      </c>
      <c r="C184" s="13">
        <f t="shared" si="20"/>
        <v>391.29622538927657</v>
      </c>
      <c r="D184" s="13">
        <f t="shared" si="16"/>
        <v>646.01237946894048</v>
      </c>
      <c r="E184" s="13">
        <f t="shared" si="23"/>
        <v>53479.766967946125</v>
      </c>
      <c r="F184" s="13">
        <f t="shared" si="21"/>
        <v>96520.233032053948</v>
      </c>
      <c r="H184" s="5">
        <f t="shared" si="22"/>
        <v>-646.01237946894048</v>
      </c>
      <c r="I184" s="1">
        <f t="shared" si="17"/>
        <v>-413.79049078949402</v>
      </c>
    </row>
    <row r="185" spans="1:9" x14ac:dyDescent="0.25">
      <c r="A185" s="12">
        <f t="shared" si="18"/>
        <v>170</v>
      </c>
      <c r="B185" s="13">
        <f t="shared" si="19"/>
        <v>253.68769574864041</v>
      </c>
      <c r="C185" s="13">
        <f t="shared" si="20"/>
        <v>392.32468372030007</v>
      </c>
      <c r="D185" s="13">
        <f t="shared" si="16"/>
        <v>646.01237946894048</v>
      </c>
      <c r="E185" s="13">
        <f t="shared" si="23"/>
        <v>53872.091651666422</v>
      </c>
      <c r="F185" s="13">
        <f t="shared" si="21"/>
        <v>96127.908348333644</v>
      </c>
      <c r="H185" s="5">
        <f t="shared" si="22"/>
        <v>-646.01237946894048</v>
      </c>
      <c r="I185" s="1">
        <f t="shared" si="17"/>
        <v>-412.70123674278011</v>
      </c>
    </row>
    <row r="186" spans="1:9" x14ac:dyDescent="0.25">
      <c r="A186" s="12">
        <f t="shared" si="18"/>
        <v>171</v>
      </c>
      <c r="B186" s="13">
        <f t="shared" si="19"/>
        <v>252.65653428257488</v>
      </c>
      <c r="C186" s="13">
        <f t="shared" si="20"/>
        <v>393.35584518636563</v>
      </c>
      <c r="D186" s="13">
        <f t="shared" si="16"/>
        <v>646.01237946894048</v>
      </c>
      <c r="E186" s="13">
        <f t="shared" si="23"/>
        <v>54265.447496852787</v>
      </c>
      <c r="F186" s="13">
        <f t="shared" si="21"/>
        <v>95734.552503147279</v>
      </c>
      <c r="H186" s="5">
        <f t="shared" si="22"/>
        <v>-646.01237946894048</v>
      </c>
      <c r="I186" s="1">
        <f t="shared" si="17"/>
        <v>-411.61485002725112</v>
      </c>
    </row>
    <row r="187" spans="1:9" x14ac:dyDescent="0.25">
      <c r="A187" s="12">
        <f t="shared" si="18"/>
        <v>172</v>
      </c>
      <c r="B187" s="13">
        <f t="shared" si="19"/>
        <v>251.62266257671766</v>
      </c>
      <c r="C187" s="13">
        <f t="shared" si="20"/>
        <v>394.38971689222285</v>
      </c>
      <c r="D187" s="13">
        <f t="shared" si="16"/>
        <v>646.01237946894048</v>
      </c>
      <c r="E187" s="13">
        <f t="shared" si="23"/>
        <v>54659.837213745006</v>
      </c>
      <c r="F187" s="13">
        <f t="shared" si="21"/>
        <v>95340.162786255052</v>
      </c>
      <c r="H187" s="5">
        <f t="shared" si="22"/>
        <v>-646.01237946894048</v>
      </c>
      <c r="I187" s="1">
        <f t="shared" si="17"/>
        <v>-410.53132309500029</v>
      </c>
    </row>
    <row r="188" spans="1:9" x14ac:dyDescent="0.25">
      <c r="A188" s="12">
        <f t="shared" si="18"/>
        <v>173</v>
      </c>
      <c r="B188" s="13">
        <f t="shared" si="19"/>
        <v>250.58607350764527</v>
      </c>
      <c r="C188" s="13">
        <f t="shared" si="20"/>
        <v>395.42630596129521</v>
      </c>
      <c r="D188" s="13">
        <f t="shared" si="16"/>
        <v>646.01237946894048</v>
      </c>
      <c r="E188" s="13">
        <f t="shared" si="23"/>
        <v>55055.263519706299</v>
      </c>
      <c r="F188" s="13">
        <f t="shared" si="21"/>
        <v>94944.736480293752</v>
      </c>
      <c r="H188" s="5">
        <f t="shared" si="22"/>
        <v>-646.01237946894048</v>
      </c>
      <c r="I188" s="1">
        <f t="shared" si="17"/>
        <v>-409.45064841798956</v>
      </c>
    </row>
    <row r="189" spans="1:9" x14ac:dyDescent="0.25">
      <c r="A189" s="12">
        <f t="shared" si="18"/>
        <v>174</v>
      </c>
      <c r="B189" s="13">
        <f t="shared" si="19"/>
        <v>249.54675993321155</v>
      </c>
      <c r="C189" s="13">
        <f t="shared" si="20"/>
        <v>396.46561953572893</v>
      </c>
      <c r="D189" s="13">
        <f t="shared" si="16"/>
        <v>646.01237946894048</v>
      </c>
      <c r="E189" s="13">
        <f t="shared" si="23"/>
        <v>55451.72913924203</v>
      </c>
      <c r="F189" s="13">
        <f t="shared" si="21"/>
        <v>94548.270860758028</v>
      </c>
      <c r="H189" s="5">
        <f t="shared" si="22"/>
        <v>-646.01237946894048</v>
      </c>
      <c r="I189" s="1">
        <f t="shared" si="17"/>
        <v>-408.37281848799768</v>
      </c>
    </row>
    <row r="190" spans="1:9" x14ac:dyDescent="0.25">
      <c r="A190" s="12">
        <f t="shared" si="18"/>
        <v>175</v>
      </c>
      <c r="B190" s="13">
        <f t="shared" si="19"/>
        <v>248.5047146924984</v>
      </c>
      <c r="C190" s="13">
        <f t="shared" si="20"/>
        <v>397.50766477644208</v>
      </c>
      <c r="D190" s="13">
        <f t="shared" si="16"/>
        <v>646.01237946894048</v>
      </c>
      <c r="E190" s="13">
        <f t="shared" si="23"/>
        <v>55849.236804018474</v>
      </c>
      <c r="F190" s="13">
        <f t="shared" si="21"/>
        <v>94150.763195981592</v>
      </c>
      <c r="H190" s="5">
        <f t="shared" si="22"/>
        <v>-646.01237946894048</v>
      </c>
      <c r="I190" s="1">
        <f t="shared" si="17"/>
        <v>-407.29782581656798</v>
      </c>
    </row>
    <row r="191" spans="1:9" x14ac:dyDescent="0.25">
      <c r="A191" s="12">
        <f t="shared" si="18"/>
        <v>176</v>
      </c>
      <c r="B191" s="13">
        <f t="shared" si="19"/>
        <v>247.45993060576637</v>
      </c>
      <c r="C191" s="13">
        <f t="shared" si="20"/>
        <v>398.55244886317411</v>
      </c>
      <c r="D191" s="13">
        <f t="shared" si="16"/>
        <v>646.01237946894048</v>
      </c>
      <c r="E191" s="13">
        <f t="shared" si="23"/>
        <v>56247.789252881645</v>
      </c>
      <c r="F191" s="13">
        <f t="shared" si="21"/>
        <v>93752.210747118414</v>
      </c>
      <c r="H191" s="5">
        <f t="shared" si="22"/>
        <v>-646.01237946894048</v>
      </c>
      <c r="I191" s="1">
        <f t="shared" si="17"/>
        <v>-406.22566293495606</v>
      </c>
    </row>
    <row r="192" spans="1:9" x14ac:dyDescent="0.25">
      <c r="A192" s="12">
        <f t="shared" si="18"/>
        <v>177</v>
      </c>
      <c r="B192" s="13">
        <f t="shared" si="19"/>
        <v>246.41240047440522</v>
      </c>
      <c r="C192" s="13">
        <f t="shared" si="20"/>
        <v>399.59997899453526</v>
      </c>
      <c r="D192" s="13">
        <f t="shared" si="16"/>
        <v>646.01237946894048</v>
      </c>
      <c r="E192" s="13">
        <f t="shared" si="23"/>
        <v>56647.389231876179</v>
      </c>
      <c r="F192" s="13">
        <f t="shared" si="21"/>
        <v>93352.610768123879</v>
      </c>
      <c r="H192" s="5">
        <f t="shared" si="22"/>
        <v>-646.01237946894048</v>
      </c>
      <c r="I192" s="1">
        <f t="shared" si="17"/>
        <v>-405.15632239407819</v>
      </c>
    </row>
    <row r="193" spans="1:9" x14ac:dyDescent="0.25">
      <c r="A193" s="12">
        <f t="shared" si="18"/>
        <v>178</v>
      </c>
      <c r="B193" s="13">
        <f t="shared" si="19"/>
        <v>245.36211708088436</v>
      </c>
      <c r="C193" s="13">
        <f t="shared" si="20"/>
        <v>400.65026238805615</v>
      </c>
      <c r="D193" s="13">
        <f t="shared" si="16"/>
        <v>646.01237946894048</v>
      </c>
      <c r="E193" s="13">
        <f t="shared" si="23"/>
        <v>57048.039494264238</v>
      </c>
      <c r="F193" s="13">
        <f t="shared" si="21"/>
        <v>92951.960505735828</v>
      </c>
      <c r="H193" s="5">
        <f t="shared" si="22"/>
        <v>-646.01237946894048</v>
      </c>
      <c r="I193" s="1">
        <f t="shared" si="17"/>
        <v>-404.08979676445955</v>
      </c>
    </row>
    <row r="194" spans="1:9" x14ac:dyDescent="0.25">
      <c r="A194" s="12">
        <f t="shared" si="18"/>
        <v>179</v>
      </c>
      <c r="B194" s="13">
        <f t="shared" si="19"/>
        <v>244.30907318870314</v>
      </c>
      <c r="C194" s="13">
        <f t="shared" si="20"/>
        <v>401.70330628023737</v>
      </c>
      <c r="D194" s="13">
        <f t="shared" si="16"/>
        <v>646.01237946894048</v>
      </c>
      <c r="E194" s="13">
        <f t="shared" si="23"/>
        <v>57449.742800544474</v>
      </c>
      <c r="F194" s="13">
        <f t="shared" si="21"/>
        <v>92550.257199455591</v>
      </c>
      <c r="H194" s="5">
        <f t="shared" si="22"/>
        <v>-646.01237946894048</v>
      </c>
      <c r="I194" s="1">
        <f t="shared" si="17"/>
        <v>-403.02607863618238</v>
      </c>
    </row>
    <row r="195" spans="1:9" x14ac:dyDescent="0.25">
      <c r="A195" s="12">
        <f t="shared" si="18"/>
        <v>180</v>
      </c>
      <c r="B195" s="13">
        <f t="shared" si="19"/>
        <v>243.25326154234085</v>
      </c>
      <c r="C195" s="13">
        <f t="shared" si="20"/>
        <v>402.75911792659963</v>
      </c>
      <c r="D195" s="13">
        <f t="shared" si="16"/>
        <v>646.01237946894048</v>
      </c>
      <c r="E195" s="13">
        <f t="shared" si="23"/>
        <v>57852.501918471076</v>
      </c>
      <c r="F195" s="13">
        <f t="shared" si="21"/>
        <v>92147.498081528989</v>
      </c>
      <c r="H195" s="5">
        <f t="shared" si="22"/>
        <v>-646.01237946894048</v>
      </c>
      <c r="I195" s="1">
        <f t="shared" si="17"/>
        <v>-401.96516061883472</v>
      </c>
    </row>
    <row r="196" spans="1:9" x14ac:dyDescent="0.25">
      <c r="A196" s="12">
        <f t="shared" si="18"/>
        <v>181</v>
      </c>
      <c r="B196" s="13">
        <f t="shared" si="19"/>
        <v>242.19467486720691</v>
      </c>
      <c r="C196" s="13">
        <f t="shared" si="20"/>
        <v>403.81770460173357</v>
      </c>
      <c r="D196" s="13">
        <f t="shared" si="16"/>
        <v>646.01237946894048</v>
      </c>
      <c r="E196" s="13">
        <f t="shared" si="23"/>
        <v>58256.319623072806</v>
      </c>
      <c r="F196" s="13">
        <f t="shared" si="21"/>
        <v>91743.680376927252</v>
      </c>
      <c r="H196" s="5">
        <f t="shared" si="22"/>
        <v>-646.01237946894048</v>
      </c>
      <c r="I196" s="1">
        <f t="shared" si="17"/>
        <v>-400.90703534145888</v>
      </c>
    </row>
    <row r="197" spans="1:9" x14ac:dyDescent="0.25">
      <c r="A197" s="12">
        <f t="shared" si="18"/>
        <v>182</v>
      </c>
      <c r="B197" s="13">
        <f t="shared" si="19"/>
        <v>241.13330586959066</v>
      </c>
      <c r="C197" s="13">
        <f t="shared" si="20"/>
        <v>404.87907359934979</v>
      </c>
      <c r="D197" s="13">
        <f t="shared" si="16"/>
        <v>646.01237946894048</v>
      </c>
      <c r="E197" s="13">
        <f t="shared" si="23"/>
        <v>58661.19869667216</v>
      </c>
      <c r="F197" s="13">
        <f t="shared" si="21"/>
        <v>91338.801303327898</v>
      </c>
      <c r="H197" s="5">
        <f t="shared" si="22"/>
        <v>-646.01237946894048</v>
      </c>
      <c r="I197" s="1">
        <f t="shared" si="17"/>
        <v>-399.85169545250068</v>
      </c>
    </row>
    <row r="198" spans="1:9" x14ac:dyDescent="0.25">
      <c r="A198" s="12">
        <f t="shared" si="18"/>
        <v>183</v>
      </c>
      <c r="B198" s="13">
        <f t="shared" si="19"/>
        <v>240.06914723661103</v>
      </c>
      <c r="C198" s="13">
        <f t="shared" si="20"/>
        <v>405.94323223232948</v>
      </c>
      <c r="D198" s="13">
        <f t="shared" si="16"/>
        <v>646.01237946894048</v>
      </c>
      <c r="E198" s="13">
        <f t="shared" si="23"/>
        <v>59067.141928904486</v>
      </c>
      <c r="F198" s="13">
        <f t="shared" si="21"/>
        <v>90932.858071095572</v>
      </c>
      <c r="H198" s="5">
        <f t="shared" si="22"/>
        <v>-646.01237946894048</v>
      </c>
      <c r="I198" s="1">
        <f t="shared" si="17"/>
        <v>-398.79913361975758</v>
      </c>
    </row>
    <row r="199" spans="1:9" x14ac:dyDescent="0.25">
      <c r="A199" s="12">
        <f t="shared" si="18"/>
        <v>184</v>
      </c>
      <c r="B199" s="13">
        <f t="shared" si="19"/>
        <v>239.00219163616637</v>
      </c>
      <c r="C199" s="13">
        <f t="shared" si="20"/>
        <v>407.01018783277414</v>
      </c>
      <c r="D199" s="13">
        <f t="shared" si="16"/>
        <v>646.01237946894048</v>
      </c>
      <c r="E199" s="13">
        <f t="shared" si="23"/>
        <v>59474.152116737263</v>
      </c>
      <c r="F199" s="13">
        <f t="shared" si="21"/>
        <v>90525.847883262802</v>
      </c>
      <c r="H199" s="5">
        <f t="shared" si="22"/>
        <v>-646.01237946894048</v>
      </c>
      <c r="I199" s="1">
        <f t="shared" si="17"/>
        <v>-397.74934253032848</v>
      </c>
    </row>
    <row r="200" spans="1:9" x14ac:dyDescent="0.25">
      <c r="A200" s="12">
        <f t="shared" si="18"/>
        <v>185</v>
      </c>
      <c r="B200" s="13">
        <f t="shared" si="19"/>
        <v>237.93243171688368</v>
      </c>
      <c r="C200" s="13">
        <f t="shared" si="20"/>
        <v>408.0799477520568</v>
      </c>
      <c r="D200" s="13">
        <f t="shared" si="16"/>
        <v>646.01237946894048</v>
      </c>
      <c r="E200" s="13">
        <f t="shared" si="23"/>
        <v>59882.232064489319</v>
      </c>
      <c r="F200" s="13">
        <f t="shared" si="21"/>
        <v>90117.767935510739</v>
      </c>
      <c r="H200" s="5">
        <f t="shared" si="22"/>
        <v>-646.01237946894048</v>
      </c>
      <c r="I200" s="1">
        <f t="shared" si="17"/>
        <v>-396.70231489056249</v>
      </c>
    </row>
    <row r="201" spans="1:9" x14ac:dyDescent="0.25">
      <c r="A201" s="12">
        <f t="shared" si="18"/>
        <v>186</v>
      </c>
      <c r="B201" s="13">
        <f t="shared" si="19"/>
        <v>236.85986010806809</v>
      </c>
      <c r="C201" s="13">
        <f t="shared" si="20"/>
        <v>409.15251936087236</v>
      </c>
      <c r="D201" s="13">
        <f t="shared" si="16"/>
        <v>646.01237946894048</v>
      </c>
      <c r="E201" s="13">
        <f t="shared" si="23"/>
        <v>60291.384583850195</v>
      </c>
      <c r="F201" s="13">
        <f t="shared" si="21"/>
        <v>89708.615416149871</v>
      </c>
      <c r="H201" s="5">
        <f t="shared" si="22"/>
        <v>-646.01237946894048</v>
      </c>
      <c r="I201" s="1">
        <f t="shared" si="17"/>
        <v>-395.65804342600825</v>
      </c>
    </row>
    <row r="202" spans="1:9" x14ac:dyDescent="0.25">
      <c r="A202" s="12">
        <f t="shared" si="18"/>
        <v>187</v>
      </c>
      <c r="B202" s="13">
        <f t="shared" si="19"/>
        <v>235.78446941965211</v>
      </c>
      <c r="C202" s="13">
        <f t="shared" si="20"/>
        <v>410.22791004928837</v>
      </c>
      <c r="D202" s="13">
        <f t="shared" si="16"/>
        <v>646.01237946894048</v>
      </c>
      <c r="E202" s="13">
        <f t="shared" si="23"/>
        <v>60701.612493899484</v>
      </c>
      <c r="F202" s="13">
        <f t="shared" si="21"/>
        <v>89298.387506100582</v>
      </c>
      <c r="H202" s="5">
        <f t="shared" si="22"/>
        <v>-646.01237946894048</v>
      </c>
      <c r="I202" s="1">
        <f t="shared" si="17"/>
        <v>-394.61652088136395</v>
      </c>
    </row>
    <row r="203" spans="1:9" x14ac:dyDescent="0.25">
      <c r="A203" s="12">
        <f t="shared" si="18"/>
        <v>188</v>
      </c>
      <c r="B203" s="13">
        <f t="shared" si="19"/>
        <v>234.70625224214464</v>
      </c>
      <c r="C203" s="13">
        <f t="shared" si="20"/>
        <v>411.30612722679587</v>
      </c>
      <c r="D203" s="13">
        <f t="shared" si="16"/>
        <v>646.01237946894048</v>
      </c>
      <c r="E203" s="13">
        <f t="shared" si="23"/>
        <v>61112.918621126279</v>
      </c>
      <c r="F203" s="13">
        <f t="shared" si="21"/>
        <v>88887.081378873787</v>
      </c>
      <c r="H203" s="5">
        <f t="shared" si="22"/>
        <v>-646.01237946894048</v>
      </c>
      <c r="I203" s="1">
        <f t="shared" si="17"/>
        <v>-393.57774002042618</v>
      </c>
    </row>
    <row r="204" spans="1:9" x14ac:dyDescent="0.25">
      <c r="A204" s="12">
        <f t="shared" si="18"/>
        <v>189</v>
      </c>
      <c r="B204" s="13">
        <f t="shared" si="19"/>
        <v>233.62520114657994</v>
      </c>
      <c r="C204" s="13">
        <f t="shared" si="20"/>
        <v>412.38717832236057</v>
      </c>
      <c r="D204" s="13">
        <f t="shared" si="16"/>
        <v>646.01237946894048</v>
      </c>
      <c r="E204" s="13">
        <f t="shared" si="23"/>
        <v>61525.305799448637</v>
      </c>
      <c r="F204" s="13">
        <f t="shared" si="21"/>
        <v>88474.694200551428</v>
      </c>
      <c r="H204" s="5">
        <f t="shared" si="22"/>
        <v>-646.01237946894048</v>
      </c>
      <c r="I204" s="1">
        <f t="shared" si="17"/>
        <v>-392.54169362603989</v>
      </c>
    </row>
    <row r="205" spans="1:9" x14ac:dyDescent="0.25">
      <c r="A205" s="12">
        <f t="shared" si="18"/>
        <v>190</v>
      </c>
      <c r="B205" s="13">
        <f t="shared" si="19"/>
        <v>232.54130868446643</v>
      </c>
      <c r="C205" s="13">
        <f t="shared" si="20"/>
        <v>413.47107078447402</v>
      </c>
      <c r="D205" s="13">
        <f t="shared" si="16"/>
        <v>646.01237946894048</v>
      </c>
      <c r="E205" s="13">
        <f t="shared" si="23"/>
        <v>61938.776870233109</v>
      </c>
      <c r="F205" s="13">
        <f t="shared" si="21"/>
        <v>88061.22312976695</v>
      </c>
      <c r="H205" s="5">
        <f t="shared" si="22"/>
        <v>-646.01237946894048</v>
      </c>
      <c r="I205" s="1">
        <f t="shared" si="17"/>
        <v>-391.5083745000486</v>
      </c>
    </row>
    <row r="206" spans="1:9" x14ac:dyDescent="0.25">
      <c r="A206" s="12">
        <f t="shared" si="18"/>
        <v>191</v>
      </c>
      <c r="B206" s="13">
        <f t="shared" si="19"/>
        <v>231.45456738773538</v>
      </c>
      <c r="C206" s="13">
        <f t="shared" si="20"/>
        <v>414.5578120812051</v>
      </c>
      <c r="D206" s="13">
        <f t="shared" si="16"/>
        <v>646.01237946894048</v>
      </c>
      <c r="E206" s="13">
        <f t="shared" si="23"/>
        <v>62353.334682314315</v>
      </c>
      <c r="F206" s="13">
        <f t="shared" si="21"/>
        <v>87646.665317685751</v>
      </c>
      <c r="H206" s="5">
        <f t="shared" si="22"/>
        <v>-646.01237946894048</v>
      </c>
      <c r="I206" s="1">
        <f t="shared" si="17"/>
        <v>-390.47777546324403</v>
      </c>
    </row>
    <row r="207" spans="1:9" x14ac:dyDescent="0.25">
      <c r="A207" s="12">
        <f t="shared" si="18"/>
        <v>192</v>
      </c>
      <c r="B207" s="13">
        <f t="shared" si="19"/>
        <v>230.36496976868952</v>
      </c>
      <c r="C207" s="13">
        <f t="shared" si="20"/>
        <v>415.64740970025093</v>
      </c>
      <c r="D207" s="13">
        <f t="shared" si="16"/>
        <v>646.01237946894048</v>
      </c>
      <c r="E207" s="13">
        <f t="shared" si="23"/>
        <v>62768.982092014565</v>
      </c>
      <c r="F207" s="13">
        <f t="shared" si="21"/>
        <v>87231.017907985501</v>
      </c>
      <c r="H207" s="5">
        <f t="shared" si="22"/>
        <v>-646.01237946894048</v>
      </c>
      <c r="I207" s="1">
        <f t="shared" si="17"/>
        <v>-389.44988935531603</v>
      </c>
    </row>
    <row r="208" spans="1:9" x14ac:dyDescent="0.25">
      <c r="A208" s="12">
        <f t="shared" si="18"/>
        <v>193</v>
      </c>
      <c r="B208" s="13">
        <f t="shared" si="19"/>
        <v>229.27250831995133</v>
      </c>
      <c r="C208" s="13">
        <f t="shared" si="20"/>
        <v>416.73987114898915</v>
      </c>
      <c r="D208" s="13">
        <f t="shared" ref="D208:D271" si="24">IF(A208&lt;&gt;"",$B$11,"")</f>
        <v>646.01237946894048</v>
      </c>
      <c r="E208" s="13">
        <f t="shared" si="23"/>
        <v>63185.721963163553</v>
      </c>
      <c r="F208" s="13">
        <f t="shared" si="21"/>
        <v>86814.278036836506</v>
      </c>
      <c r="H208" s="5">
        <f t="shared" si="22"/>
        <v>-646.01237946894048</v>
      </c>
      <c r="I208" s="1">
        <f t="shared" ref="I208:I271" si="25">IF(A208&lt;&gt;"",H208*(1+$H$5)^(-A208),"")</f>
        <v>-388.4247090348037</v>
      </c>
    </row>
    <row r="209" spans="1:9" x14ac:dyDescent="0.25">
      <c r="A209" s="12">
        <f t="shared" ref="A209:A272" si="26">IFERROR(IF(A208=$B$10,"",A208+1),"")</f>
        <v>194</v>
      </c>
      <c r="B209" s="13">
        <f t="shared" ref="B209:B272" si="27">IF(A209&lt;&gt;"",F208*$C$9,"")</f>
        <v>228.17717551441132</v>
      </c>
      <c r="C209" s="13">
        <f t="shared" ref="C209:C272" si="28">IF(A209&lt;&gt;"",D209-B209,"")</f>
        <v>417.83520395452916</v>
      </c>
      <c r="D209" s="13">
        <f t="shared" si="24"/>
        <v>646.01237946894048</v>
      </c>
      <c r="E209" s="13">
        <f t="shared" si="23"/>
        <v>63603.557167118081</v>
      </c>
      <c r="F209" s="13">
        <f t="shared" ref="F209:F272" si="29">IF(A209&lt;&gt;"",F208-C209,"")</f>
        <v>86396.442832881978</v>
      </c>
      <c r="H209" s="5">
        <f t="shared" ref="H209:H272" si="30">IF(A209&lt;&gt;"",-D209,"")</f>
        <v>-646.01237946894048</v>
      </c>
      <c r="I209" s="1">
        <f t="shared" si="25"/>
        <v>-387.40222737904446</v>
      </c>
    </row>
    <row r="210" spans="1:9" x14ac:dyDescent="0.25">
      <c r="A210" s="12">
        <f t="shared" si="26"/>
        <v>195</v>
      </c>
      <c r="B210" s="13">
        <f t="shared" si="27"/>
        <v>227.07896380517639</v>
      </c>
      <c r="C210" s="13">
        <f t="shared" si="28"/>
        <v>418.93341566376409</v>
      </c>
      <c r="D210" s="13">
        <f t="shared" si="24"/>
        <v>646.01237946894048</v>
      </c>
      <c r="E210" s="13">
        <f t="shared" ref="E210:E273" si="31">IF(A210&lt;&gt;"",E209+C210,"")</f>
        <v>64022.490582781844</v>
      </c>
      <c r="F210" s="13">
        <f t="shared" si="29"/>
        <v>85977.509417218214</v>
      </c>
      <c r="H210" s="5">
        <f t="shared" si="30"/>
        <v>-646.01237946894048</v>
      </c>
      <c r="I210" s="1">
        <f t="shared" si="25"/>
        <v>-386.38243728412596</v>
      </c>
    </row>
    <row r="211" spans="1:9" x14ac:dyDescent="0.25">
      <c r="A211" s="12">
        <f t="shared" si="26"/>
        <v>196</v>
      </c>
      <c r="B211" s="13">
        <f t="shared" si="27"/>
        <v>225.97786562551747</v>
      </c>
      <c r="C211" s="13">
        <f t="shared" si="28"/>
        <v>420.03451384342304</v>
      </c>
      <c r="D211" s="13">
        <f t="shared" si="24"/>
        <v>646.01237946894048</v>
      </c>
      <c r="E211" s="13">
        <f t="shared" si="31"/>
        <v>64442.525096625264</v>
      </c>
      <c r="F211" s="13">
        <f t="shared" si="29"/>
        <v>85557.474903374794</v>
      </c>
      <c r="H211" s="5">
        <f t="shared" si="30"/>
        <v>-646.01237946894048</v>
      </c>
      <c r="I211" s="1">
        <f t="shared" si="25"/>
        <v>-385.36533166483548</v>
      </c>
    </row>
    <row r="212" spans="1:9" x14ac:dyDescent="0.25">
      <c r="A212" s="12">
        <f t="shared" si="26"/>
        <v>197</v>
      </c>
      <c r="B212" s="13">
        <f t="shared" si="27"/>
        <v>224.87387338881771</v>
      </c>
      <c r="C212" s="13">
        <f t="shared" si="28"/>
        <v>421.13850608012274</v>
      </c>
      <c r="D212" s="13">
        <f t="shared" si="24"/>
        <v>646.01237946894048</v>
      </c>
      <c r="E212" s="13">
        <f t="shared" si="31"/>
        <v>64863.66360270539</v>
      </c>
      <c r="F212" s="13">
        <f t="shared" si="29"/>
        <v>85136.336397294668</v>
      </c>
      <c r="H212" s="5">
        <f t="shared" si="30"/>
        <v>-646.01237946894048</v>
      </c>
      <c r="I212" s="1">
        <f t="shared" si="25"/>
        <v>-384.3509034546118</v>
      </c>
    </row>
    <row r="213" spans="1:9" x14ac:dyDescent="0.25">
      <c r="A213" s="12">
        <f t="shared" si="26"/>
        <v>198</v>
      </c>
      <c r="B213" s="13">
        <f t="shared" si="27"/>
        <v>223.76697948852004</v>
      </c>
      <c r="C213" s="13">
        <f t="shared" si="28"/>
        <v>422.24539998042042</v>
      </c>
      <c r="D213" s="13">
        <f t="shared" si="24"/>
        <v>646.01237946894048</v>
      </c>
      <c r="E213" s="13">
        <f t="shared" si="31"/>
        <v>65285.90900268581</v>
      </c>
      <c r="F213" s="13">
        <f t="shared" si="29"/>
        <v>84714.090997314241</v>
      </c>
      <c r="H213" s="5">
        <f t="shared" si="30"/>
        <v>-646.01237946894048</v>
      </c>
      <c r="I213" s="1">
        <f t="shared" si="25"/>
        <v>-383.33914560549516</v>
      </c>
    </row>
    <row r="214" spans="1:9" x14ac:dyDescent="0.25">
      <c r="A214" s="12">
        <f t="shared" si="26"/>
        <v>199</v>
      </c>
      <c r="B214" s="13">
        <f t="shared" si="27"/>
        <v>222.65717629807475</v>
      </c>
      <c r="C214" s="13">
        <f t="shared" si="28"/>
        <v>423.35520317086571</v>
      </c>
      <c r="D214" s="13">
        <f t="shared" si="24"/>
        <v>646.01237946894048</v>
      </c>
      <c r="E214" s="13">
        <f t="shared" si="31"/>
        <v>65709.264205856671</v>
      </c>
      <c r="F214" s="13">
        <f t="shared" si="29"/>
        <v>84290.735794143373</v>
      </c>
      <c r="H214" s="5">
        <f t="shared" si="30"/>
        <v>-646.01237946894048</v>
      </c>
      <c r="I214" s="1">
        <f t="shared" si="25"/>
        <v>-382.33005108807907</v>
      </c>
    </row>
    <row r="215" spans="1:9" x14ac:dyDescent="0.25">
      <c r="A215" s="12">
        <f t="shared" si="26"/>
        <v>200</v>
      </c>
      <c r="B215" s="13">
        <f t="shared" si="27"/>
        <v>221.54445617088703</v>
      </c>
      <c r="C215" s="13">
        <f t="shared" si="28"/>
        <v>424.46792329805345</v>
      </c>
      <c r="D215" s="13">
        <f t="shared" si="24"/>
        <v>646.01237946894048</v>
      </c>
      <c r="E215" s="13">
        <f t="shared" si="31"/>
        <v>66133.732129154727</v>
      </c>
      <c r="F215" s="13">
        <f t="shared" si="29"/>
        <v>83866.267870845317</v>
      </c>
      <c r="H215" s="5">
        <f t="shared" si="30"/>
        <v>-646.01237946894048</v>
      </c>
      <c r="I215" s="1">
        <f t="shared" si="25"/>
        <v>-381.32361289146064</v>
      </c>
    </row>
    <row r="216" spans="1:9" x14ac:dyDescent="0.25">
      <c r="A216" s="12">
        <f t="shared" si="26"/>
        <v>201</v>
      </c>
      <c r="B216" s="13">
        <f t="shared" si="27"/>
        <v>220.42881144026424</v>
      </c>
      <c r="C216" s="13">
        <f t="shared" si="28"/>
        <v>425.58356802867627</v>
      </c>
      <c r="D216" s="13">
        <f t="shared" si="24"/>
        <v>646.01237946894048</v>
      </c>
      <c r="E216" s="13">
        <f t="shared" si="31"/>
        <v>66559.315697183396</v>
      </c>
      <c r="F216" s="13">
        <f t="shared" si="29"/>
        <v>83440.684302816648</v>
      </c>
      <c r="H216" s="5">
        <f t="shared" si="30"/>
        <v>-646.01237946894048</v>
      </c>
      <c r="I216" s="1">
        <f t="shared" si="25"/>
        <v>-380.31982402319272</v>
      </c>
    </row>
    <row r="217" spans="1:9" x14ac:dyDescent="0.25">
      <c r="A217" s="12">
        <f t="shared" si="26"/>
        <v>202</v>
      </c>
      <c r="B217" s="13">
        <f t="shared" si="27"/>
        <v>219.3102344193631</v>
      </c>
      <c r="C217" s="13">
        <f t="shared" si="28"/>
        <v>426.70214504957738</v>
      </c>
      <c r="D217" s="13">
        <f t="shared" si="24"/>
        <v>646.01237946894048</v>
      </c>
      <c r="E217" s="13">
        <f t="shared" si="31"/>
        <v>66986.017842232977</v>
      </c>
      <c r="F217" s="13">
        <f t="shared" si="29"/>
        <v>83013.982157767066</v>
      </c>
      <c r="H217" s="5">
        <f t="shared" si="30"/>
        <v>-646.01237946894048</v>
      </c>
      <c r="I217" s="1">
        <f t="shared" si="25"/>
        <v>-379.31867750923487</v>
      </c>
    </row>
    <row r="218" spans="1:9" x14ac:dyDescent="0.25">
      <c r="A218" s="12">
        <f t="shared" si="26"/>
        <v>203</v>
      </c>
      <c r="B218" s="13">
        <f t="shared" si="27"/>
        <v>218.18871740113667</v>
      </c>
      <c r="C218" s="13">
        <f t="shared" si="28"/>
        <v>427.82366206780381</v>
      </c>
      <c r="D218" s="13">
        <f t="shared" si="24"/>
        <v>646.01237946894048</v>
      </c>
      <c r="E218" s="13">
        <f t="shared" si="31"/>
        <v>67413.841504300784</v>
      </c>
      <c r="F218" s="13">
        <f t="shared" si="29"/>
        <v>82586.158495699259</v>
      </c>
      <c r="H218" s="5">
        <f t="shared" si="30"/>
        <v>-646.01237946894048</v>
      </c>
      <c r="I218" s="1">
        <f t="shared" si="25"/>
        <v>-378.32016639390503</v>
      </c>
    </row>
    <row r="219" spans="1:9" x14ac:dyDescent="0.25">
      <c r="A219" s="12">
        <f t="shared" si="26"/>
        <v>204</v>
      </c>
      <c r="B219" s="13">
        <f t="shared" si="27"/>
        <v>217.0642526582813</v>
      </c>
      <c r="C219" s="13">
        <f t="shared" si="28"/>
        <v>428.94812681065918</v>
      </c>
      <c r="D219" s="13">
        <f t="shared" si="24"/>
        <v>646.01237946894048</v>
      </c>
      <c r="E219" s="13">
        <f t="shared" si="31"/>
        <v>67842.789631111445</v>
      </c>
      <c r="F219" s="13">
        <f t="shared" si="29"/>
        <v>82157.210368888598</v>
      </c>
      <c r="H219" s="5">
        <f t="shared" si="30"/>
        <v>-646.01237946894048</v>
      </c>
      <c r="I219" s="1">
        <f t="shared" si="25"/>
        <v>-377.32428373983095</v>
      </c>
    </row>
    <row r="220" spans="1:9" x14ac:dyDescent="0.25">
      <c r="A220" s="12">
        <f t="shared" si="26"/>
        <v>205</v>
      </c>
      <c r="B220" s="13">
        <f t="shared" si="27"/>
        <v>215.93683244318348</v>
      </c>
      <c r="C220" s="13">
        <f t="shared" si="28"/>
        <v>430.07554702575703</v>
      </c>
      <c r="D220" s="13">
        <f t="shared" si="24"/>
        <v>646.01237946894048</v>
      </c>
      <c r="E220" s="13">
        <f t="shared" si="31"/>
        <v>68272.865178137203</v>
      </c>
      <c r="F220" s="13">
        <f t="shared" si="29"/>
        <v>81727.134821862841</v>
      </c>
      <c r="H220" s="5">
        <f t="shared" si="30"/>
        <v>-646.01237946894048</v>
      </c>
      <c r="I220" s="1">
        <f t="shared" si="25"/>
        <v>-376.33102262790243</v>
      </c>
    </row>
    <row r="221" spans="1:9" x14ac:dyDescent="0.25">
      <c r="A221" s="12">
        <f t="shared" si="26"/>
        <v>206</v>
      </c>
      <c r="B221" s="13">
        <f t="shared" si="27"/>
        <v>214.80644898786622</v>
      </c>
      <c r="C221" s="13">
        <f t="shared" si="28"/>
        <v>431.20593048107423</v>
      </c>
      <c r="D221" s="13">
        <f t="shared" si="24"/>
        <v>646.01237946894048</v>
      </c>
      <c r="E221" s="13">
        <f t="shared" si="31"/>
        <v>68704.071108618271</v>
      </c>
      <c r="F221" s="13">
        <f t="shared" si="29"/>
        <v>81295.928891381773</v>
      </c>
      <c r="H221" s="5">
        <f t="shared" si="30"/>
        <v>-646.01237946894048</v>
      </c>
      <c r="I221" s="1">
        <f t="shared" si="25"/>
        <v>-375.34037615722275</v>
      </c>
    </row>
    <row r="222" spans="1:9" x14ac:dyDescent="0.25">
      <c r="A222" s="12">
        <f t="shared" si="26"/>
        <v>207</v>
      </c>
      <c r="B222" s="13">
        <f t="shared" si="27"/>
        <v>213.67309450393574</v>
      </c>
      <c r="C222" s="13">
        <f t="shared" si="28"/>
        <v>432.33928496500471</v>
      </c>
      <c r="D222" s="13">
        <f t="shared" si="24"/>
        <v>646.01237946894048</v>
      </c>
      <c r="E222" s="13">
        <f t="shared" si="31"/>
        <v>69136.410393583283</v>
      </c>
      <c r="F222" s="13">
        <f t="shared" si="29"/>
        <v>80863.589606416761</v>
      </c>
      <c r="H222" s="5">
        <f t="shared" si="30"/>
        <v>-646.01237946894048</v>
      </c>
      <c r="I222" s="1">
        <f t="shared" si="25"/>
        <v>-374.35233744506115</v>
      </c>
    </row>
    <row r="223" spans="1:9" x14ac:dyDescent="0.25">
      <c r="A223" s="12">
        <f t="shared" si="26"/>
        <v>208</v>
      </c>
      <c r="B223" s="13">
        <f t="shared" si="27"/>
        <v>212.53676118252775</v>
      </c>
      <c r="C223" s="13">
        <f t="shared" si="28"/>
        <v>433.47561828641273</v>
      </c>
      <c r="D223" s="13">
        <f t="shared" si="24"/>
        <v>646.01237946894048</v>
      </c>
      <c r="E223" s="13">
        <f t="shared" si="31"/>
        <v>69569.88601186969</v>
      </c>
      <c r="F223" s="13">
        <f t="shared" si="29"/>
        <v>80430.113988130353</v>
      </c>
      <c r="H223" s="5">
        <f t="shared" si="30"/>
        <v>-646.01237946894048</v>
      </c>
      <c r="I223" s="1">
        <f t="shared" si="25"/>
        <v>-373.36689962680464</v>
      </c>
    </row>
    <row r="224" spans="1:9" x14ac:dyDescent="0.25">
      <c r="A224" s="12">
        <f t="shared" si="26"/>
        <v>209</v>
      </c>
      <c r="B224" s="13">
        <f t="shared" si="27"/>
        <v>211.39744119425362</v>
      </c>
      <c r="C224" s="13">
        <f t="shared" si="28"/>
        <v>434.61493827468689</v>
      </c>
      <c r="D224" s="13">
        <f t="shared" si="24"/>
        <v>646.01237946894048</v>
      </c>
      <c r="E224" s="13">
        <f t="shared" si="31"/>
        <v>70004.500950144371</v>
      </c>
      <c r="F224" s="13">
        <f t="shared" si="29"/>
        <v>79995.499049855673</v>
      </c>
      <c r="H224" s="5">
        <f t="shared" si="30"/>
        <v>-646.01237946894048</v>
      </c>
      <c r="I224" s="1">
        <f t="shared" si="25"/>
        <v>-372.3840558559109</v>
      </c>
    </row>
    <row r="225" spans="1:9" x14ac:dyDescent="0.25">
      <c r="A225" s="12">
        <f t="shared" si="26"/>
        <v>210</v>
      </c>
      <c r="B225" s="13">
        <f t="shared" si="27"/>
        <v>210.25512668914644</v>
      </c>
      <c r="C225" s="13">
        <f t="shared" si="28"/>
        <v>435.75725277979404</v>
      </c>
      <c r="D225" s="13">
        <f t="shared" si="24"/>
        <v>646.01237946894048</v>
      </c>
      <c r="E225" s="13">
        <f t="shared" si="31"/>
        <v>70440.25820292416</v>
      </c>
      <c r="F225" s="13">
        <f t="shared" si="29"/>
        <v>79559.741797075883</v>
      </c>
      <c r="H225" s="5">
        <f t="shared" si="30"/>
        <v>-646.01237946894048</v>
      </c>
      <c r="I225" s="1">
        <f t="shared" si="25"/>
        <v>-371.4037993038599</v>
      </c>
    </row>
    <row r="226" spans="1:9" x14ac:dyDescent="0.25">
      <c r="A226" s="12">
        <f t="shared" si="26"/>
        <v>211</v>
      </c>
      <c r="B226" s="13">
        <f t="shared" si="27"/>
        <v>209.1098097966069</v>
      </c>
      <c r="C226" s="13">
        <f t="shared" si="28"/>
        <v>436.90256967233358</v>
      </c>
      <c r="D226" s="13">
        <f t="shared" si="24"/>
        <v>646.01237946894048</v>
      </c>
      <c r="E226" s="13">
        <f t="shared" si="31"/>
        <v>70877.1607725965</v>
      </c>
      <c r="F226" s="13">
        <f t="shared" si="29"/>
        <v>79122.839227403543</v>
      </c>
      <c r="H226" s="5">
        <f t="shared" si="30"/>
        <v>-646.01237946894048</v>
      </c>
      <c r="I226" s="1">
        <f t="shared" si="25"/>
        <v>-370.42612316010724</v>
      </c>
    </row>
    <row r="227" spans="1:9" x14ac:dyDescent="0.25">
      <c r="A227" s="12">
        <f t="shared" si="26"/>
        <v>212</v>
      </c>
      <c r="B227" s="13">
        <f t="shared" si="27"/>
        <v>207.96148262534916</v>
      </c>
      <c r="C227" s="13">
        <f t="shared" si="28"/>
        <v>438.05089684359132</v>
      </c>
      <c r="D227" s="13">
        <f t="shared" si="24"/>
        <v>646.01237946894048</v>
      </c>
      <c r="E227" s="13">
        <f t="shared" si="31"/>
        <v>71315.21166944009</v>
      </c>
      <c r="F227" s="13">
        <f t="shared" si="29"/>
        <v>78684.788330559953</v>
      </c>
      <c r="H227" s="5">
        <f t="shared" si="30"/>
        <v>-646.01237946894048</v>
      </c>
      <c r="I227" s="1">
        <f t="shared" si="25"/>
        <v>-369.45102063203586</v>
      </c>
    </row>
    <row r="228" spans="1:9" x14ac:dyDescent="0.25">
      <c r="A228" s="12">
        <f t="shared" si="26"/>
        <v>213</v>
      </c>
      <c r="B228" s="13">
        <f t="shared" si="27"/>
        <v>206.81013726334646</v>
      </c>
      <c r="C228" s="13">
        <f t="shared" si="28"/>
        <v>439.20224220559402</v>
      </c>
      <c r="D228" s="13">
        <f t="shared" si="24"/>
        <v>646.01237946894048</v>
      </c>
      <c r="E228" s="13">
        <f t="shared" si="31"/>
        <v>71754.413911645679</v>
      </c>
      <c r="F228" s="13">
        <f t="shared" si="29"/>
        <v>78245.586088354365</v>
      </c>
      <c r="H228" s="5">
        <f t="shared" si="30"/>
        <v>-646.01237946894048</v>
      </c>
      <c r="I228" s="1">
        <f t="shared" si="25"/>
        <v>-368.47848494491024</v>
      </c>
    </row>
    <row r="229" spans="1:9" x14ac:dyDescent="0.25">
      <c r="A229" s="12">
        <f t="shared" si="26"/>
        <v>214</v>
      </c>
      <c r="B229" s="13">
        <f t="shared" si="27"/>
        <v>205.65576577777648</v>
      </c>
      <c r="C229" s="13">
        <f t="shared" si="28"/>
        <v>440.356613691164</v>
      </c>
      <c r="D229" s="13">
        <f t="shared" si="24"/>
        <v>646.01237946894048</v>
      </c>
      <c r="E229" s="13">
        <f t="shared" si="31"/>
        <v>72194.770525336848</v>
      </c>
      <c r="F229" s="13">
        <f t="shared" si="29"/>
        <v>77805.229474663196</v>
      </c>
      <c r="H229" s="5">
        <f t="shared" si="30"/>
        <v>-646.01237946894048</v>
      </c>
      <c r="I229" s="1">
        <f t="shared" si="25"/>
        <v>-367.5085093418279</v>
      </c>
    </row>
    <row r="230" spans="1:9" x14ac:dyDescent="0.25">
      <c r="A230" s="12">
        <f t="shared" si="26"/>
        <v>215</v>
      </c>
      <c r="B230" s="13">
        <f t="shared" si="27"/>
        <v>204.49836021496679</v>
      </c>
      <c r="C230" s="13">
        <f t="shared" si="28"/>
        <v>441.51401925397369</v>
      </c>
      <c r="D230" s="13">
        <f t="shared" si="24"/>
        <v>646.01237946894048</v>
      </c>
      <c r="E230" s="13">
        <f t="shared" si="31"/>
        <v>72636.284544590817</v>
      </c>
      <c r="F230" s="13">
        <f t="shared" si="29"/>
        <v>77363.715455409227</v>
      </c>
      <c r="H230" s="5">
        <f t="shared" si="30"/>
        <v>-646.01237946894048</v>
      </c>
      <c r="I230" s="1">
        <f t="shared" si="25"/>
        <v>-366.54108708367352</v>
      </c>
    </row>
    <row r="231" spans="1:9" x14ac:dyDescent="0.25">
      <c r="A231" s="12">
        <f t="shared" si="26"/>
        <v>216</v>
      </c>
      <c r="B231" s="13">
        <f t="shared" si="27"/>
        <v>203.3379126003401</v>
      </c>
      <c r="C231" s="13">
        <f t="shared" si="28"/>
        <v>442.67446686860035</v>
      </c>
      <c r="D231" s="13">
        <f t="shared" si="24"/>
        <v>646.01237946894048</v>
      </c>
      <c r="E231" s="13">
        <f t="shared" si="31"/>
        <v>73078.959011459418</v>
      </c>
      <c r="F231" s="13">
        <f t="shared" si="29"/>
        <v>76921.040988540626</v>
      </c>
      <c r="H231" s="5">
        <f t="shared" si="30"/>
        <v>-646.01237946894048</v>
      </c>
      <c r="I231" s="1">
        <f t="shared" si="25"/>
        <v>-365.57621144907142</v>
      </c>
    </row>
    <row r="232" spans="1:9" x14ac:dyDescent="0.25">
      <c r="A232" s="12">
        <f t="shared" si="26"/>
        <v>217</v>
      </c>
      <c r="B232" s="13">
        <f t="shared" si="27"/>
        <v>202.17441493835912</v>
      </c>
      <c r="C232" s="13">
        <f t="shared" si="28"/>
        <v>443.83796453058136</v>
      </c>
      <c r="D232" s="13">
        <f t="shared" si="24"/>
        <v>646.01237946894048</v>
      </c>
      <c r="E232" s="13">
        <f t="shared" si="31"/>
        <v>73522.796975990001</v>
      </c>
      <c r="F232" s="13">
        <f t="shared" si="29"/>
        <v>76477.203024010043</v>
      </c>
      <c r="H232" s="5">
        <f t="shared" si="30"/>
        <v>-646.01237946894048</v>
      </c>
      <c r="I232" s="1">
        <f t="shared" si="25"/>
        <v>-364.61387573433944</v>
      </c>
    </row>
    <row r="233" spans="1:9" x14ac:dyDescent="0.25">
      <c r="A233" s="12">
        <f t="shared" si="26"/>
        <v>218</v>
      </c>
      <c r="B233" s="13">
        <f t="shared" si="27"/>
        <v>201.00785921247171</v>
      </c>
      <c r="C233" s="13">
        <f t="shared" si="28"/>
        <v>445.00452025646877</v>
      </c>
      <c r="D233" s="13">
        <f t="shared" si="24"/>
        <v>646.01237946894048</v>
      </c>
      <c r="E233" s="13">
        <f t="shared" si="31"/>
        <v>73967.801496246466</v>
      </c>
      <c r="F233" s="13">
        <f t="shared" si="29"/>
        <v>76032.198503753578</v>
      </c>
      <c r="H233" s="5">
        <f t="shared" si="30"/>
        <v>-646.01237946894048</v>
      </c>
      <c r="I233" s="1">
        <f t="shared" si="25"/>
        <v>-363.65407325344154</v>
      </c>
    </row>
    <row r="234" spans="1:9" x14ac:dyDescent="0.25">
      <c r="A234" s="12">
        <f t="shared" si="26"/>
        <v>219</v>
      </c>
      <c r="B234" s="13">
        <f t="shared" si="27"/>
        <v>199.83823738505549</v>
      </c>
      <c r="C234" s="13">
        <f t="shared" si="28"/>
        <v>446.17414208388499</v>
      </c>
      <c r="D234" s="13">
        <f t="shared" si="24"/>
        <v>646.01237946894048</v>
      </c>
      <c r="E234" s="13">
        <f t="shared" si="31"/>
        <v>74413.975638330347</v>
      </c>
      <c r="F234" s="13">
        <f t="shared" si="29"/>
        <v>75586.024361669697</v>
      </c>
      <c r="H234" s="5">
        <f t="shared" si="30"/>
        <v>-646.01237946894048</v>
      </c>
      <c r="I234" s="1">
        <f t="shared" si="25"/>
        <v>-362.69679733794243</v>
      </c>
    </row>
    <row r="235" spans="1:9" x14ac:dyDescent="0.25">
      <c r="A235" s="12">
        <f t="shared" si="26"/>
        <v>220</v>
      </c>
      <c r="B235" s="13">
        <f t="shared" si="27"/>
        <v>198.66554139736246</v>
      </c>
      <c r="C235" s="13">
        <f t="shared" si="28"/>
        <v>447.34683807157802</v>
      </c>
      <c r="D235" s="13">
        <f t="shared" si="24"/>
        <v>646.01237946894048</v>
      </c>
      <c r="E235" s="13">
        <f t="shared" si="31"/>
        <v>74861.322476401925</v>
      </c>
      <c r="F235" s="13">
        <f t="shared" si="29"/>
        <v>75138.677523598119</v>
      </c>
      <c r="H235" s="5">
        <f t="shared" si="30"/>
        <v>-646.01237946894048</v>
      </c>
      <c r="I235" s="1">
        <f t="shared" si="25"/>
        <v>-361.7420413369606</v>
      </c>
    </row>
    <row r="236" spans="1:9" x14ac:dyDescent="0.25">
      <c r="A236" s="12">
        <f t="shared" si="26"/>
        <v>221</v>
      </c>
      <c r="B236" s="13">
        <f t="shared" si="27"/>
        <v>197.48976316946354</v>
      </c>
      <c r="C236" s="13">
        <f t="shared" si="28"/>
        <v>448.52261629947691</v>
      </c>
      <c r="D236" s="13">
        <f t="shared" si="24"/>
        <v>646.01237946894048</v>
      </c>
      <c r="E236" s="13">
        <f t="shared" si="31"/>
        <v>75309.845092701406</v>
      </c>
      <c r="F236" s="13">
        <f t="shared" si="29"/>
        <v>74690.154907298638</v>
      </c>
      <c r="H236" s="5">
        <f t="shared" si="30"/>
        <v>-646.01237946894048</v>
      </c>
      <c r="I236" s="1">
        <f t="shared" si="25"/>
        <v>-360.78979861712179</v>
      </c>
    </row>
    <row r="237" spans="1:9" x14ac:dyDescent="0.25">
      <c r="A237" s="12">
        <f t="shared" si="26"/>
        <v>222</v>
      </c>
      <c r="B237" s="13">
        <f t="shared" si="27"/>
        <v>196.31089460019288</v>
      </c>
      <c r="C237" s="13">
        <f t="shared" si="28"/>
        <v>449.70148486874757</v>
      </c>
      <c r="D237" s="13">
        <f t="shared" si="24"/>
        <v>646.01237946894048</v>
      </c>
      <c r="E237" s="13">
        <f t="shared" si="31"/>
        <v>75759.54657757016</v>
      </c>
      <c r="F237" s="13">
        <f t="shared" si="29"/>
        <v>74240.453422429884</v>
      </c>
      <c r="H237" s="5">
        <f t="shared" si="30"/>
        <v>-646.01237946894048</v>
      </c>
      <c r="I237" s="1">
        <f t="shared" si="25"/>
        <v>-359.84006256251354</v>
      </c>
    </row>
    <row r="238" spans="1:9" x14ac:dyDescent="0.25">
      <c r="A238" s="12">
        <f t="shared" si="26"/>
        <v>223</v>
      </c>
      <c r="B238" s="13">
        <f t="shared" si="27"/>
        <v>195.12892756709206</v>
      </c>
      <c r="C238" s="13">
        <f t="shared" si="28"/>
        <v>450.88345190184839</v>
      </c>
      <c r="D238" s="13">
        <f t="shared" si="24"/>
        <v>646.01237946894048</v>
      </c>
      <c r="E238" s="13">
        <f t="shared" si="31"/>
        <v>76210.430029472001</v>
      </c>
      <c r="F238" s="13">
        <f t="shared" si="29"/>
        <v>73789.569970528042</v>
      </c>
      <c r="H238" s="5">
        <f t="shared" si="30"/>
        <v>-646.01237946894048</v>
      </c>
      <c r="I238" s="1">
        <f t="shared" si="25"/>
        <v>-358.89282657463917</v>
      </c>
    </row>
    <row r="239" spans="1:9" x14ac:dyDescent="0.25">
      <c r="A239" s="12">
        <f t="shared" si="26"/>
        <v>224</v>
      </c>
      <c r="B239" s="13">
        <f t="shared" si="27"/>
        <v>193.94385392635411</v>
      </c>
      <c r="C239" s="13">
        <f t="shared" si="28"/>
        <v>452.06852554258637</v>
      </c>
      <c r="D239" s="13">
        <f t="shared" si="24"/>
        <v>646.01237946894048</v>
      </c>
      <c r="E239" s="13">
        <f t="shared" si="31"/>
        <v>76662.498555014594</v>
      </c>
      <c r="F239" s="13">
        <f t="shared" si="29"/>
        <v>73337.50144498545</v>
      </c>
      <c r="H239" s="5">
        <f t="shared" si="30"/>
        <v>-646.01237946894048</v>
      </c>
      <c r="I239" s="1">
        <f t="shared" si="25"/>
        <v>-357.9480840723715</v>
      </c>
    </row>
    <row r="240" spans="1:9" x14ac:dyDescent="0.25">
      <c r="A240" s="12">
        <f t="shared" si="26"/>
        <v>225</v>
      </c>
      <c r="B240" s="13">
        <f t="shared" si="27"/>
        <v>192.75566551276731</v>
      </c>
      <c r="C240" s="13">
        <f t="shared" si="28"/>
        <v>453.25671395617314</v>
      </c>
      <c r="D240" s="13">
        <f t="shared" si="24"/>
        <v>646.01237946894048</v>
      </c>
      <c r="E240" s="13">
        <f t="shared" si="31"/>
        <v>77115.755268970766</v>
      </c>
      <c r="F240" s="13">
        <f t="shared" si="29"/>
        <v>72884.244731029277</v>
      </c>
      <c r="H240" s="5">
        <f t="shared" si="30"/>
        <v>-646.01237946894048</v>
      </c>
      <c r="I240" s="1">
        <f t="shared" si="25"/>
        <v>-357.00582849190755</v>
      </c>
    </row>
    <row r="241" spans="1:9" x14ac:dyDescent="0.25">
      <c r="A241" s="12">
        <f t="shared" si="26"/>
        <v>226</v>
      </c>
      <c r="B241" s="13">
        <f t="shared" si="27"/>
        <v>191.56435413965909</v>
      </c>
      <c r="C241" s="13">
        <f t="shared" si="28"/>
        <v>454.44802532928139</v>
      </c>
      <c r="D241" s="13">
        <f t="shared" si="24"/>
        <v>646.01237946894048</v>
      </c>
      <c r="E241" s="13">
        <f t="shared" si="31"/>
        <v>77570.203294300052</v>
      </c>
      <c r="F241" s="13">
        <f t="shared" si="29"/>
        <v>72429.796705699991</v>
      </c>
      <c r="H241" s="5">
        <f t="shared" si="30"/>
        <v>-646.01237946894048</v>
      </c>
      <c r="I241" s="1">
        <f t="shared" si="25"/>
        <v>-356.06605328672254</v>
      </c>
    </row>
    <row r="242" spans="1:9" x14ac:dyDescent="0.25">
      <c r="A242" s="12">
        <f t="shared" si="26"/>
        <v>227</v>
      </c>
      <c r="B242" s="13">
        <f t="shared" si="27"/>
        <v>190.36991159883948</v>
      </c>
      <c r="C242" s="13">
        <f t="shared" si="28"/>
        <v>455.64246787010097</v>
      </c>
      <c r="D242" s="13">
        <f t="shared" si="24"/>
        <v>646.01237946894048</v>
      </c>
      <c r="E242" s="13">
        <f t="shared" si="31"/>
        <v>78025.845762170153</v>
      </c>
      <c r="F242" s="13">
        <f t="shared" si="29"/>
        <v>71974.154237829891</v>
      </c>
      <c r="H242" s="5">
        <f t="shared" si="30"/>
        <v>-646.01237946894048</v>
      </c>
      <c r="I242" s="1">
        <f t="shared" si="25"/>
        <v>-355.12875192752512</v>
      </c>
    </row>
    <row r="243" spans="1:9" x14ac:dyDescent="0.25">
      <c r="A243" s="12">
        <f t="shared" si="26"/>
        <v>228</v>
      </c>
      <c r="B243" s="13">
        <f t="shared" si="27"/>
        <v>189.1723296605447</v>
      </c>
      <c r="C243" s="13">
        <f t="shared" si="28"/>
        <v>456.84004980839575</v>
      </c>
      <c r="D243" s="13">
        <f t="shared" si="24"/>
        <v>646.01237946894048</v>
      </c>
      <c r="E243" s="13">
        <f t="shared" si="31"/>
        <v>78482.685811978547</v>
      </c>
      <c r="F243" s="13">
        <f t="shared" si="29"/>
        <v>71517.314188021497</v>
      </c>
      <c r="H243" s="5">
        <f t="shared" si="30"/>
        <v>-646.01237946894048</v>
      </c>
      <c r="I243" s="1">
        <f t="shared" si="25"/>
        <v>-354.19391790221073</v>
      </c>
    </row>
    <row r="244" spans="1:9" x14ac:dyDescent="0.25">
      <c r="A244" s="12">
        <f t="shared" si="26"/>
        <v>229</v>
      </c>
      <c r="B244" s="13">
        <f t="shared" si="27"/>
        <v>187.97160007338036</v>
      </c>
      <c r="C244" s="13">
        <f t="shared" si="28"/>
        <v>458.04077939556009</v>
      </c>
      <c r="D244" s="13">
        <f t="shared" si="24"/>
        <v>646.01237946894048</v>
      </c>
      <c r="E244" s="13">
        <f t="shared" si="31"/>
        <v>78940.726591374114</v>
      </c>
      <c r="F244" s="13">
        <f t="shared" si="29"/>
        <v>71059.273408625944</v>
      </c>
      <c r="H244" s="5">
        <f t="shared" si="30"/>
        <v>-646.01237946894048</v>
      </c>
      <c r="I244" s="1">
        <f t="shared" si="25"/>
        <v>-353.26154471581793</v>
      </c>
    </row>
    <row r="245" spans="1:9" x14ac:dyDescent="0.25">
      <c r="A245" s="12">
        <f t="shared" si="26"/>
        <v>230</v>
      </c>
      <c r="B245" s="13">
        <f t="shared" si="27"/>
        <v>186.76771456426457</v>
      </c>
      <c r="C245" s="13">
        <f t="shared" si="28"/>
        <v>459.24466490467591</v>
      </c>
      <c r="D245" s="13">
        <f t="shared" si="24"/>
        <v>646.01237946894048</v>
      </c>
      <c r="E245" s="13">
        <f t="shared" si="31"/>
        <v>79399.97125627879</v>
      </c>
      <c r="F245" s="13">
        <f t="shared" si="29"/>
        <v>70600.028743721268</v>
      </c>
      <c r="H245" s="5">
        <f t="shared" si="30"/>
        <v>-646.01237946894048</v>
      </c>
      <c r="I245" s="1">
        <f t="shared" si="25"/>
        <v>-352.3316258904822</v>
      </c>
    </row>
    <row r="246" spans="1:9" x14ac:dyDescent="0.25">
      <c r="A246" s="12">
        <f t="shared" si="26"/>
        <v>231</v>
      </c>
      <c r="B246" s="13">
        <f t="shared" si="27"/>
        <v>185.560664838371</v>
      </c>
      <c r="C246" s="13">
        <f t="shared" si="28"/>
        <v>460.45171463056948</v>
      </c>
      <c r="D246" s="13">
        <f t="shared" si="24"/>
        <v>646.01237946894048</v>
      </c>
      <c r="E246" s="13">
        <f t="shared" si="31"/>
        <v>79860.422970909363</v>
      </c>
      <c r="F246" s="13">
        <f t="shared" si="29"/>
        <v>70139.577029090695</v>
      </c>
      <c r="H246" s="5">
        <f t="shared" si="30"/>
        <v>-646.01237946894048</v>
      </c>
      <c r="I246" s="1">
        <f t="shared" si="25"/>
        <v>-351.40415496539083</v>
      </c>
    </row>
    <row r="247" spans="1:9" x14ac:dyDescent="0.25">
      <c r="A247" s="12">
        <f t="shared" si="26"/>
        <v>232</v>
      </c>
      <c r="B247" s="13">
        <f t="shared" si="27"/>
        <v>184.35044257907177</v>
      </c>
      <c r="C247" s="13">
        <f t="shared" si="28"/>
        <v>461.66193688986868</v>
      </c>
      <c r="D247" s="13">
        <f t="shared" si="24"/>
        <v>646.01237946894048</v>
      </c>
      <c r="E247" s="13">
        <f t="shared" si="31"/>
        <v>80322.084907799232</v>
      </c>
      <c r="F247" s="13">
        <f t="shared" si="29"/>
        <v>69677.915092200827</v>
      </c>
      <c r="H247" s="5">
        <f t="shared" si="30"/>
        <v>-646.01237946894048</v>
      </c>
      <c r="I247" s="1">
        <f t="shared" si="25"/>
        <v>-350.47912549673913</v>
      </c>
    </row>
    <row r="248" spans="1:9" x14ac:dyDescent="0.25">
      <c r="A248" s="12">
        <f t="shared" si="26"/>
        <v>233</v>
      </c>
      <c r="B248" s="13">
        <f t="shared" si="27"/>
        <v>183.13703944788008</v>
      </c>
      <c r="C248" s="13">
        <f t="shared" si="28"/>
        <v>462.87534002106042</v>
      </c>
      <c r="D248" s="13">
        <f t="shared" si="24"/>
        <v>646.01237946894048</v>
      </c>
      <c r="E248" s="13">
        <f t="shared" si="31"/>
        <v>80784.960247820287</v>
      </c>
      <c r="F248" s="13">
        <f t="shared" si="29"/>
        <v>69215.039752179771</v>
      </c>
      <c r="H248" s="5">
        <f t="shared" si="30"/>
        <v>-646.01237946894048</v>
      </c>
      <c r="I248" s="1">
        <f t="shared" si="25"/>
        <v>-349.55653105768448</v>
      </c>
    </row>
    <row r="249" spans="1:9" x14ac:dyDescent="0.25">
      <c r="A249" s="12">
        <f t="shared" si="26"/>
        <v>234</v>
      </c>
      <c r="B249" s="13">
        <f t="shared" si="27"/>
        <v>181.9204470843928</v>
      </c>
      <c r="C249" s="13">
        <f t="shared" si="28"/>
        <v>464.0919323845477</v>
      </c>
      <c r="D249" s="13">
        <f t="shared" si="24"/>
        <v>646.01237946894048</v>
      </c>
      <c r="E249" s="13">
        <f t="shared" si="31"/>
        <v>81249.052180204832</v>
      </c>
      <c r="F249" s="13">
        <f t="shared" si="29"/>
        <v>68750.947819795227</v>
      </c>
      <c r="H249" s="5">
        <f t="shared" si="30"/>
        <v>-646.01237946894048</v>
      </c>
      <c r="I249" s="1">
        <f t="shared" si="25"/>
        <v>-348.63636523830229</v>
      </c>
    </row>
    <row r="250" spans="1:9" x14ac:dyDescent="0.25">
      <c r="A250" s="12">
        <f t="shared" si="26"/>
        <v>235</v>
      </c>
      <c r="B250" s="13">
        <f t="shared" si="27"/>
        <v>180.7006571062328</v>
      </c>
      <c r="C250" s="13">
        <f t="shared" si="28"/>
        <v>465.31172236270766</v>
      </c>
      <c r="D250" s="13">
        <f t="shared" si="24"/>
        <v>646.01237946894048</v>
      </c>
      <c r="E250" s="13">
        <f t="shared" si="31"/>
        <v>81714.363902567537</v>
      </c>
      <c r="F250" s="13">
        <f t="shared" si="29"/>
        <v>68285.636097432522</v>
      </c>
      <c r="H250" s="5">
        <f t="shared" si="30"/>
        <v>-646.01237946894048</v>
      </c>
      <c r="I250" s="1">
        <f t="shared" si="25"/>
        <v>-347.71862164554142</v>
      </c>
    </row>
    <row r="251" spans="1:9" x14ac:dyDescent="0.25">
      <c r="A251" s="12">
        <f t="shared" si="26"/>
        <v>236</v>
      </c>
      <c r="B251" s="13">
        <f t="shared" si="27"/>
        <v>179.47766110899121</v>
      </c>
      <c r="C251" s="13">
        <f t="shared" si="28"/>
        <v>466.53471835994924</v>
      </c>
      <c r="D251" s="13">
        <f t="shared" si="24"/>
        <v>646.01237946894048</v>
      </c>
      <c r="E251" s="13">
        <f t="shared" si="31"/>
        <v>82180.898620927488</v>
      </c>
      <c r="F251" s="13">
        <f t="shared" si="29"/>
        <v>67819.10137907257</v>
      </c>
      <c r="H251" s="5">
        <f t="shared" si="30"/>
        <v>-646.01237946894048</v>
      </c>
      <c r="I251" s="1">
        <f t="shared" si="25"/>
        <v>-346.80329390317945</v>
      </c>
    </row>
    <row r="252" spans="1:9" x14ac:dyDescent="0.25">
      <c r="A252" s="12">
        <f t="shared" si="26"/>
        <v>237</v>
      </c>
      <c r="B252" s="13">
        <f t="shared" si="27"/>
        <v>178.25145066616963</v>
      </c>
      <c r="C252" s="13">
        <f t="shared" si="28"/>
        <v>467.76092880277088</v>
      </c>
      <c r="D252" s="13">
        <f t="shared" si="24"/>
        <v>646.01237946894048</v>
      </c>
      <c r="E252" s="13">
        <f t="shared" si="31"/>
        <v>82648.659549730262</v>
      </c>
      <c r="F252" s="13">
        <f t="shared" si="29"/>
        <v>67351.340450269796</v>
      </c>
      <c r="H252" s="5">
        <f t="shared" si="30"/>
        <v>-646.01237946894048</v>
      </c>
      <c r="I252" s="1">
        <f t="shared" si="25"/>
        <v>-345.89037565177881</v>
      </c>
    </row>
    <row r="253" spans="1:9" x14ac:dyDescent="0.25">
      <c r="A253" s="12">
        <f t="shared" si="26"/>
        <v>238</v>
      </c>
      <c r="B253" s="13">
        <f t="shared" si="27"/>
        <v>177.02201732912195</v>
      </c>
      <c r="C253" s="13">
        <f t="shared" si="28"/>
        <v>468.99036213981856</v>
      </c>
      <c r="D253" s="13">
        <f t="shared" si="24"/>
        <v>646.01237946894048</v>
      </c>
      <c r="E253" s="13">
        <f t="shared" si="31"/>
        <v>83117.649911870074</v>
      </c>
      <c r="F253" s="13">
        <f t="shared" si="29"/>
        <v>66882.350088129984</v>
      </c>
      <c r="H253" s="5">
        <f t="shared" si="30"/>
        <v>-646.01237946894048</v>
      </c>
      <c r="I253" s="1">
        <f t="shared" si="25"/>
        <v>-344.97986054864231</v>
      </c>
    </row>
    <row r="254" spans="1:9" x14ac:dyDescent="0.25">
      <c r="A254" s="12">
        <f t="shared" si="26"/>
        <v>239</v>
      </c>
      <c r="B254" s="13">
        <f t="shared" si="27"/>
        <v>175.78935262699613</v>
      </c>
      <c r="C254" s="13">
        <f t="shared" si="28"/>
        <v>470.22302684194437</v>
      </c>
      <c r="D254" s="13">
        <f t="shared" si="24"/>
        <v>646.01237946894048</v>
      </c>
      <c r="E254" s="13">
        <f t="shared" si="31"/>
        <v>83587.872938712011</v>
      </c>
      <c r="F254" s="13">
        <f t="shared" si="29"/>
        <v>66412.127061288047</v>
      </c>
      <c r="H254" s="5">
        <f t="shared" si="30"/>
        <v>-646.01237946894048</v>
      </c>
      <c r="I254" s="1">
        <f t="shared" si="25"/>
        <v>-344.07174226776925</v>
      </c>
    </row>
    <row r="255" spans="1:9" x14ac:dyDescent="0.25">
      <c r="A255" s="12">
        <f t="shared" si="26"/>
        <v>240</v>
      </c>
      <c r="B255" s="13">
        <f t="shared" si="27"/>
        <v>174.55344806667597</v>
      </c>
      <c r="C255" s="13">
        <f t="shared" si="28"/>
        <v>471.45893140226451</v>
      </c>
      <c r="D255" s="13">
        <f t="shared" si="24"/>
        <v>646.01237946894048</v>
      </c>
      <c r="E255" s="13">
        <f t="shared" si="31"/>
        <v>84059.331870114271</v>
      </c>
      <c r="F255" s="13">
        <f t="shared" si="29"/>
        <v>65940.668129885787</v>
      </c>
      <c r="H255" s="5">
        <f t="shared" si="30"/>
        <v>-646.01237946894048</v>
      </c>
      <c r="I255" s="1">
        <f t="shared" si="25"/>
        <v>-343.16601449981101</v>
      </c>
    </row>
    <row r="256" spans="1:9" x14ac:dyDescent="0.25">
      <c r="A256" s="12">
        <f t="shared" si="26"/>
        <v>241</v>
      </c>
      <c r="B256" s="13">
        <f t="shared" si="27"/>
        <v>173.31429513272235</v>
      </c>
      <c r="C256" s="13">
        <f t="shared" si="28"/>
        <v>472.69808433621813</v>
      </c>
      <c r="D256" s="13">
        <f t="shared" si="24"/>
        <v>646.01237946894048</v>
      </c>
      <c r="E256" s="13">
        <f t="shared" si="31"/>
        <v>84532.029954450496</v>
      </c>
      <c r="F256" s="13">
        <f t="shared" si="29"/>
        <v>65467.970045549569</v>
      </c>
      <c r="H256" s="5">
        <f t="shared" si="30"/>
        <v>-646.01237946894048</v>
      </c>
      <c r="I256" s="1">
        <f t="shared" si="25"/>
        <v>-342.2626709520282</v>
      </c>
    </row>
    <row r="257" spans="1:9" x14ac:dyDescent="0.25">
      <c r="A257" s="12">
        <f t="shared" si="26"/>
        <v>242</v>
      </c>
      <c r="B257" s="13">
        <f t="shared" si="27"/>
        <v>172.07188528731484</v>
      </c>
      <c r="C257" s="13">
        <f t="shared" si="28"/>
        <v>473.94049418162564</v>
      </c>
      <c r="D257" s="13">
        <f t="shared" si="24"/>
        <v>646.01237946894048</v>
      </c>
      <c r="E257" s="13">
        <f t="shared" si="31"/>
        <v>85005.970448632128</v>
      </c>
      <c r="F257" s="13">
        <f t="shared" si="29"/>
        <v>64994.029551367945</v>
      </c>
      <c r="H257" s="5">
        <f t="shared" si="30"/>
        <v>-646.01237946894048</v>
      </c>
      <c r="I257" s="1">
        <f t="shared" si="25"/>
        <v>-341.36170534824566</v>
      </c>
    </row>
    <row r="258" spans="1:9" x14ac:dyDescent="0.25">
      <c r="A258" s="12">
        <f t="shared" si="26"/>
        <v>243</v>
      </c>
      <c r="B258" s="13">
        <f t="shared" si="27"/>
        <v>170.82620997019268</v>
      </c>
      <c r="C258" s="13">
        <f t="shared" si="28"/>
        <v>475.1861694987478</v>
      </c>
      <c r="D258" s="13">
        <f t="shared" si="24"/>
        <v>646.01237946894048</v>
      </c>
      <c r="E258" s="13">
        <f t="shared" si="31"/>
        <v>85481.156618130874</v>
      </c>
      <c r="F258" s="13">
        <f t="shared" si="29"/>
        <v>64518.843381869199</v>
      </c>
      <c r="H258" s="5">
        <f t="shared" si="30"/>
        <v>-646.01237946894048</v>
      </c>
      <c r="I258" s="1">
        <f t="shared" si="25"/>
        <v>-340.46311142881001</v>
      </c>
    </row>
    <row r="259" spans="1:9" x14ac:dyDescent="0.25">
      <c r="A259" s="12">
        <f t="shared" si="26"/>
        <v>244</v>
      </c>
      <c r="B259" s="13">
        <f t="shared" si="27"/>
        <v>169.5772605985959</v>
      </c>
      <c r="C259" s="13">
        <f t="shared" si="28"/>
        <v>476.43511887034458</v>
      </c>
      <c r="D259" s="13">
        <f t="shared" si="24"/>
        <v>646.01237946894048</v>
      </c>
      <c r="E259" s="13">
        <f t="shared" si="31"/>
        <v>85957.591737001218</v>
      </c>
      <c r="F259" s="13">
        <f t="shared" si="29"/>
        <v>64042.408262998855</v>
      </c>
      <c r="H259" s="5">
        <f t="shared" si="30"/>
        <v>-646.01237946894048</v>
      </c>
      <c r="I259" s="1">
        <f t="shared" si="25"/>
        <v>-339.56688295054533</v>
      </c>
    </row>
    <row r="260" spans="1:9" x14ac:dyDescent="0.25">
      <c r="A260" s="12">
        <f t="shared" si="26"/>
        <v>245</v>
      </c>
      <c r="B260" s="13">
        <f t="shared" si="27"/>
        <v>168.32502856720606</v>
      </c>
      <c r="C260" s="13">
        <f t="shared" si="28"/>
        <v>477.68735090173442</v>
      </c>
      <c r="D260" s="13">
        <f t="shared" si="24"/>
        <v>646.01237946894048</v>
      </c>
      <c r="E260" s="13">
        <f t="shared" si="31"/>
        <v>86435.279087902949</v>
      </c>
      <c r="F260" s="13">
        <f t="shared" si="29"/>
        <v>63564.720912097124</v>
      </c>
      <c r="H260" s="5">
        <f t="shared" si="30"/>
        <v>-646.01237946894048</v>
      </c>
      <c r="I260" s="1">
        <f t="shared" si="25"/>
        <v>-338.67301368671031</v>
      </c>
    </row>
    <row r="261" spans="1:9" x14ac:dyDescent="0.25">
      <c r="A261" s="12">
        <f t="shared" si="26"/>
        <v>246</v>
      </c>
      <c r="B261" s="13">
        <f t="shared" si="27"/>
        <v>167.06950524808718</v>
      </c>
      <c r="C261" s="13">
        <f t="shared" si="28"/>
        <v>478.9428742208533</v>
      </c>
      <c r="D261" s="13">
        <f t="shared" si="24"/>
        <v>646.01237946894048</v>
      </c>
      <c r="E261" s="13">
        <f t="shared" si="31"/>
        <v>86914.221962123804</v>
      </c>
      <c r="F261" s="13">
        <f t="shared" si="29"/>
        <v>63085.778037876269</v>
      </c>
      <c r="H261" s="5">
        <f t="shared" si="30"/>
        <v>-646.01237946894048</v>
      </c>
      <c r="I261" s="1">
        <f t="shared" si="25"/>
        <v>-337.7814974269549</v>
      </c>
    </row>
    <row r="262" spans="1:9" x14ac:dyDescent="0.25">
      <c r="A262" s="12">
        <f t="shared" si="26"/>
        <v>247</v>
      </c>
      <c r="B262" s="13">
        <f t="shared" si="27"/>
        <v>165.81068199062605</v>
      </c>
      <c r="C262" s="13">
        <f t="shared" si="28"/>
        <v>480.20169747831443</v>
      </c>
      <c r="D262" s="13">
        <f t="shared" si="24"/>
        <v>646.01237946894048</v>
      </c>
      <c r="E262" s="13">
        <f t="shared" si="31"/>
        <v>87394.423659602122</v>
      </c>
      <c r="F262" s="13">
        <f t="shared" si="29"/>
        <v>62605.576340397958</v>
      </c>
      <c r="H262" s="5">
        <f t="shared" si="30"/>
        <v>-646.01237946894048</v>
      </c>
      <c r="I262" s="1">
        <f t="shared" si="25"/>
        <v>-336.89232797727652</v>
      </c>
    </row>
    <row r="263" spans="1:9" x14ac:dyDescent="0.25">
      <c r="A263" s="12">
        <f t="shared" si="26"/>
        <v>248</v>
      </c>
      <c r="B263" s="13">
        <f t="shared" si="27"/>
        <v>164.54855012147274</v>
      </c>
      <c r="C263" s="13">
        <f t="shared" si="28"/>
        <v>481.46382934746771</v>
      </c>
      <c r="D263" s="13">
        <f t="shared" si="24"/>
        <v>646.01237946894048</v>
      </c>
      <c r="E263" s="13">
        <f t="shared" si="31"/>
        <v>87875.887488949593</v>
      </c>
      <c r="F263" s="13">
        <f t="shared" si="29"/>
        <v>62124.112511050487</v>
      </c>
      <c r="H263" s="5">
        <f t="shared" si="30"/>
        <v>-646.01237946894048</v>
      </c>
      <c r="I263" s="1">
        <f t="shared" si="25"/>
        <v>-336.00549915997834</v>
      </c>
    </row>
    <row r="264" spans="1:9" x14ac:dyDescent="0.25">
      <c r="A264" s="12">
        <f t="shared" si="26"/>
        <v>249</v>
      </c>
      <c r="B264" s="13">
        <f t="shared" si="27"/>
        <v>163.28310094448085</v>
      </c>
      <c r="C264" s="13">
        <f t="shared" si="28"/>
        <v>482.72927852445963</v>
      </c>
      <c r="D264" s="13">
        <f t="shared" si="24"/>
        <v>646.01237946894048</v>
      </c>
      <c r="E264" s="13">
        <f t="shared" si="31"/>
        <v>88358.616767474057</v>
      </c>
      <c r="F264" s="13">
        <f t="shared" si="29"/>
        <v>61641.38323252603</v>
      </c>
      <c r="H264" s="5">
        <f t="shared" si="30"/>
        <v>-646.01237946894048</v>
      </c>
      <c r="I264" s="1">
        <f t="shared" si="25"/>
        <v>-335.12100481362484</v>
      </c>
    </row>
    <row r="265" spans="1:9" x14ac:dyDescent="0.25">
      <c r="A265" s="12">
        <f t="shared" si="26"/>
        <v>250</v>
      </c>
      <c r="B265" s="13">
        <f t="shared" si="27"/>
        <v>162.01432574064765</v>
      </c>
      <c r="C265" s="13">
        <f t="shared" si="28"/>
        <v>483.9980537282928</v>
      </c>
      <c r="D265" s="13">
        <f t="shared" si="24"/>
        <v>646.01237946894048</v>
      </c>
      <c r="E265" s="13">
        <f t="shared" si="31"/>
        <v>88842.614821202355</v>
      </c>
      <c r="F265" s="13">
        <f t="shared" si="29"/>
        <v>61157.38517879774</v>
      </c>
      <c r="H265" s="5">
        <f t="shared" si="30"/>
        <v>-646.01237946894048</v>
      </c>
      <c r="I265" s="1">
        <f t="shared" si="25"/>
        <v>-334.23883879300024</v>
      </c>
    </row>
    <row r="266" spans="1:9" x14ac:dyDescent="0.25">
      <c r="A266" s="12">
        <f t="shared" si="26"/>
        <v>251</v>
      </c>
      <c r="B266" s="13">
        <f t="shared" si="27"/>
        <v>160.74221576805382</v>
      </c>
      <c r="C266" s="13">
        <f t="shared" si="28"/>
        <v>485.27016370088666</v>
      </c>
      <c r="D266" s="13">
        <f t="shared" si="24"/>
        <v>646.01237946894048</v>
      </c>
      <c r="E266" s="13">
        <f t="shared" si="31"/>
        <v>89327.884984903241</v>
      </c>
      <c r="F266" s="13">
        <f t="shared" si="29"/>
        <v>60672.115015096853</v>
      </c>
      <c r="H266" s="5">
        <f t="shared" si="30"/>
        <v>-646.01237946894048</v>
      </c>
      <c r="I266" s="1">
        <f t="shared" si="25"/>
        <v>-333.35899496906501</v>
      </c>
    </row>
    <row r="267" spans="1:9" x14ac:dyDescent="0.25">
      <c r="A267" s="12">
        <f t="shared" si="26"/>
        <v>252</v>
      </c>
      <c r="B267" s="13">
        <f t="shared" si="27"/>
        <v>159.46676226180338</v>
      </c>
      <c r="C267" s="13">
        <f t="shared" si="28"/>
        <v>486.54561720713707</v>
      </c>
      <c r="D267" s="13">
        <f t="shared" si="24"/>
        <v>646.01237946894048</v>
      </c>
      <c r="E267" s="13">
        <f t="shared" si="31"/>
        <v>89814.430602110384</v>
      </c>
      <c r="F267" s="13">
        <f t="shared" si="29"/>
        <v>60185.569397889718</v>
      </c>
      <c r="H267" s="5">
        <f t="shared" si="30"/>
        <v>-646.01237946894048</v>
      </c>
      <c r="I267" s="1">
        <f t="shared" si="25"/>
        <v>-332.48146722891386</v>
      </c>
    </row>
    <row r="268" spans="1:9" x14ac:dyDescent="0.25">
      <c r="A268" s="12">
        <f t="shared" si="26"/>
        <v>253</v>
      </c>
      <c r="B268" s="13">
        <f t="shared" si="27"/>
        <v>158.18795643396325</v>
      </c>
      <c r="C268" s="13">
        <f t="shared" si="28"/>
        <v>487.82442303497726</v>
      </c>
      <c r="D268" s="13">
        <f t="shared" si="24"/>
        <v>646.01237946894048</v>
      </c>
      <c r="E268" s="13">
        <f t="shared" si="31"/>
        <v>90302.255025145365</v>
      </c>
      <c r="F268" s="13">
        <f t="shared" si="29"/>
        <v>59697.744974854744</v>
      </c>
      <c r="H268" s="5">
        <f t="shared" si="30"/>
        <v>-646.01237946894048</v>
      </c>
      <c r="I268" s="1">
        <f t="shared" si="25"/>
        <v>-331.6062494757328</v>
      </c>
    </row>
    <row r="269" spans="1:9" x14ac:dyDescent="0.25">
      <c r="A269" s="12">
        <f t="shared" si="26"/>
        <v>254</v>
      </c>
      <c r="B269" s="13">
        <f t="shared" si="27"/>
        <v>156.90578947350269</v>
      </c>
      <c r="C269" s="13">
        <f t="shared" si="28"/>
        <v>489.10658999543779</v>
      </c>
      <c r="D269" s="13">
        <f t="shared" si="24"/>
        <v>646.01237946894048</v>
      </c>
      <c r="E269" s="13">
        <f t="shared" si="31"/>
        <v>90791.361615140806</v>
      </c>
      <c r="F269" s="13">
        <f t="shared" si="29"/>
        <v>59208.638384859303</v>
      </c>
      <c r="H269" s="5">
        <f t="shared" si="30"/>
        <v>-646.01237946894048</v>
      </c>
      <c r="I269" s="1">
        <f t="shared" si="25"/>
        <v>-330.733335628757</v>
      </c>
    </row>
    <row r="270" spans="1:9" x14ac:dyDescent="0.25">
      <c r="A270" s="12">
        <f t="shared" si="26"/>
        <v>255</v>
      </c>
      <c r="B270" s="13">
        <f t="shared" si="27"/>
        <v>155.62025254623262</v>
      </c>
      <c r="C270" s="13">
        <f t="shared" si="28"/>
        <v>490.39212692270786</v>
      </c>
      <c r="D270" s="13">
        <f t="shared" si="24"/>
        <v>646.01237946894048</v>
      </c>
      <c r="E270" s="13">
        <f t="shared" si="31"/>
        <v>91281.75374206352</v>
      </c>
      <c r="F270" s="13">
        <f t="shared" si="29"/>
        <v>58718.246257936597</v>
      </c>
      <c r="H270" s="5">
        <f t="shared" si="30"/>
        <v>-646.01237946894048</v>
      </c>
      <c r="I270" s="1">
        <f t="shared" si="25"/>
        <v>-329.8627196232286</v>
      </c>
    </row>
    <row r="271" spans="1:9" x14ac:dyDescent="0.25">
      <c r="A271" s="12">
        <f t="shared" si="26"/>
        <v>256</v>
      </c>
      <c r="B271" s="13">
        <f t="shared" si="27"/>
        <v>154.33133679474471</v>
      </c>
      <c r="C271" s="13">
        <f t="shared" si="28"/>
        <v>491.68104267419574</v>
      </c>
      <c r="D271" s="13">
        <f t="shared" si="24"/>
        <v>646.01237946894048</v>
      </c>
      <c r="E271" s="13">
        <f t="shared" si="31"/>
        <v>91773.434784737721</v>
      </c>
      <c r="F271" s="13">
        <f t="shared" si="29"/>
        <v>58226.565215262402</v>
      </c>
      <c r="H271" s="5">
        <f t="shared" si="30"/>
        <v>-646.01237946894048</v>
      </c>
      <c r="I271" s="1">
        <f t="shared" si="25"/>
        <v>-328.99439541035417</v>
      </c>
    </row>
    <row r="272" spans="1:9" x14ac:dyDescent="0.25">
      <c r="A272" s="12">
        <f t="shared" si="26"/>
        <v>257</v>
      </c>
      <c r="B272" s="13">
        <f t="shared" si="27"/>
        <v>153.03903333835044</v>
      </c>
      <c r="C272" s="13">
        <f t="shared" si="28"/>
        <v>492.97334613059002</v>
      </c>
      <c r="D272" s="13">
        <f t="shared" ref="D272:D335" si="32">IF(A272&lt;&gt;"",$B$11,"")</f>
        <v>646.01237946894048</v>
      </c>
      <c r="E272" s="13">
        <f t="shared" si="31"/>
        <v>92266.408130868309</v>
      </c>
      <c r="F272" s="13">
        <f t="shared" si="29"/>
        <v>57733.591869131815</v>
      </c>
      <c r="H272" s="5">
        <f t="shared" si="30"/>
        <v>-646.01237946894048</v>
      </c>
      <c r="I272" s="1">
        <f t="shared" ref="I272:I335" si="33">IF(A272&lt;&gt;"",H272*(1+$H$5)^(-A272),"")</f>
        <v>-328.12835695726363</v>
      </c>
    </row>
    <row r="273" spans="1:9" x14ac:dyDescent="0.25">
      <c r="A273" s="12">
        <f t="shared" ref="A273:A336" si="34">IFERROR(IF(A272=$B$10,"",A272+1),"")</f>
        <v>258</v>
      </c>
      <c r="B273" s="13">
        <f t="shared" ref="B273:B336" si="35">IF(A273&lt;&gt;"",F272*$C$9,"")</f>
        <v>151.74333327301974</v>
      </c>
      <c r="C273" s="13">
        <f t="shared" ref="C273:C336" si="36">IF(A273&lt;&gt;"",D273-B273,"")</f>
        <v>494.26904619592074</v>
      </c>
      <c r="D273" s="13">
        <f t="shared" si="32"/>
        <v>646.01237946894048</v>
      </c>
      <c r="E273" s="13">
        <f t="shared" si="31"/>
        <v>92760.677177064223</v>
      </c>
      <c r="F273" s="13">
        <f t="shared" ref="F273:F336" si="37">IF(A273&lt;&gt;"",F272-C273,"")</f>
        <v>57239.322822935894</v>
      </c>
      <c r="H273" s="5">
        <f t="shared" ref="H273:H336" si="38">IF(A273&lt;&gt;"",-D273,"")</f>
        <v>-646.01237946894048</v>
      </c>
      <c r="I273" s="1">
        <f t="shared" si="33"/>
        <v>-327.26459824696713</v>
      </c>
    </row>
    <row r="274" spans="1:9" x14ac:dyDescent="0.25">
      <c r="A274" s="12">
        <f t="shared" si="34"/>
        <v>259</v>
      </c>
      <c r="B274" s="13">
        <f t="shared" si="35"/>
        <v>150.44422767131985</v>
      </c>
      <c r="C274" s="13">
        <f t="shared" si="36"/>
        <v>495.56815179762066</v>
      </c>
      <c r="D274" s="13">
        <f t="shared" si="32"/>
        <v>646.01237946894048</v>
      </c>
      <c r="E274" s="13">
        <f t="shared" ref="E274:E337" si="39">IF(A274&lt;&gt;"",E273+C274,"")</f>
        <v>93256.245328861842</v>
      </c>
      <c r="F274" s="13">
        <f t="shared" si="37"/>
        <v>56743.754671138275</v>
      </c>
      <c r="H274" s="5">
        <f t="shared" si="38"/>
        <v>-646.01237946894048</v>
      </c>
      <c r="I274" s="1">
        <f t="shared" si="33"/>
        <v>-326.40311327831409</v>
      </c>
    </row>
    <row r="275" spans="1:9" x14ac:dyDescent="0.25">
      <c r="A275" s="12">
        <f t="shared" si="34"/>
        <v>260</v>
      </c>
      <c r="B275" s="13">
        <f t="shared" si="35"/>
        <v>149.14170758235363</v>
      </c>
      <c r="C275" s="13">
        <f t="shared" si="36"/>
        <v>496.87067188658682</v>
      </c>
      <c r="D275" s="13">
        <f t="shared" si="32"/>
        <v>646.01237946894048</v>
      </c>
      <c r="E275" s="13">
        <f t="shared" si="39"/>
        <v>93753.116000748429</v>
      </c>
      <c r="F275" s="13">
        <f t="shared" si="37"/>
        <v>56246.883999251688</v>
      </c>
      <c r="H275" s="5">
        <f t="shared" si="38"/>
        <v>-646.01237946894048</v>
      </c>
      <c r="I275" s="1">
        <f t="shared" si="33"/>
        <v>-325.54389606595117</v>
      </c>
    </row>
    <row r="276" spans="1:9" x14ac:dyDescent="0.25">
      <c r="A276" s="12">
        <f t="shared" si="34"/>
        <v>261</v>
      </c>
      <c r="B276" s="13">
        <f t="shared" si="35"/>
        <v>147.83576403169803</v>
      </c>
      <c r="C276" s="13">
        <f t="shared" si="36"/>
        <v>498.17661543724245</v>
      </c>
      <c r="D276" s="13">
        <f t="shared" si="32"/>
        <v>646.01237946894048</v>
      </c>
      <c r="E276" s="13">
        <f t="shared" si="39"/>
        <v>94251.292616185674</v>
      </c>
      <c r="F276" s="13">
        <f t="shared" si="37"/>
        <v>55748.707383814442</v>
      </c>
      <c r="H276" s="5">
        <f t="shared" si="38"/>
        <v>-646.01237946894048</v>
      </c>
      <c r="I276" s="1">
        <f t="shared" si="33"/>
        <v>-324.6869406402808</v>
      </c>
    </row>
    <row r="277" spans="1:9" x14ac:dyDescent="0.25">
      <c r="A277" s="12">
        <f t="shared" si="34"/>
        <v>262</v>
      </c>
      <c r="B277" s="13">
        <f t="shared" si="35"/>
        <v>146.52638802134214</v>
      </c>
      <c r="C277" s="13">
        <f t="shared" si="36"/>
        <v>499.48599144759834</v>
      </c>
      <c r="D277" s="13">
        <f t="shared" si="32"/>
        <v>646.01237946894048</v>
      </c>
      <c r="E277" s="13">
        <f t="shared" si="39"/>
        <v>94750.77860763327</v>
      </c>
      <c r="F277" s="13">
        <f t="shared" si="37"/>
        <v>55249.221392366846</v>
      </c>
      <c r="H277" s="5">
        <f t="shared" si="38"/>
        <v>-646.01237946894048</v>
      </c>
      <c r="I277" s="1">
        <f t="shared" si="33"/>
        <v>-323.8322410474197</v>
      </c>
    </row>
    <row r="278" spans="1:9" x14ac:dyDescent="0.25">
      <c r="A278" s="12">
        <f t="shared" si="34"/>
        <v>263</v>
      </c>
      <c r="B278" s="13">
        <f t="shared" si="35"/>
        <v>145.21357052962529</v>
      </c>
      <c r="C278" s="13">
        <f t="shared" si="36"/>
        <v>500.79880893931522</v>
      </c>
      <c r="D278" s="13">
        <f t="shared" si="32"/>
        <v>646.01237946894048</v>
      </c>
      <c r="E278" s="13">
        <f t="shared" si="39"/>
        <v>95251.577416572589</v>
      </c>
      <c r="F278" s="13">
        <f t="shared" si="37"/>
        <v>54748.422583427528</v>
      </c>
      <c r="H278" s="5">
        <f t="shared" si="38"/>
        <v>-646.01237946894048</v>
      </c>
      <c r="I278" s="1">
        <f t="shared" si="33"/>
        <v>-322.97979134915732</v>
      </c>
    </row>
    <row r="279" spans="1:9" x14ac:dyDescent="0.25">
      <c r="A279" s="12">
        <f t="shared" si="34"/>
        <v>264</v>
      </c>
      <c r="B279" s="13">
        <f t="shared" si="35"/>
        <v>143.89730251117481</v>
      </c>
      <c r="C279" s="13">
        <f t="shared" si="36"/>
        <v>502.11507695776567</v>
      </c>
      <c r="D279" s="13">
        <f t="shared" si="32"/>
        <v>646.01237946894048</v>
      </c>
      <c r="E279" s="13">
        <f t="shared" si="39"/>
        <v>95753.692493530354</v>
      </c>
      <c r="F279" s="13">
        <f t="shared" si="37"/>
        <v>54246.307506469762</v>
      </c>
      <c r="H279" s="5">
        <f t="shared" si="38"/>
        <v>-646.01237946894048</v>
      </c>
      <c r="I279" s="1">
        <f t="shared" si="33"/>
        <v>-322.12958562291493</v>
      </c>
    </row>
    <row r="280" spans="1:9" x14ac:dyDescent="0.25">
      <c r="A280" s="12">
        <f t="shared" si="34"/>
        <v>265</v>
      </c>
      <c r="B280" s="13">
        <f t="shared" si="35"/>
        <v>142.5775748968438</v>
      </c>
      <c r="C280" s="13">
        <f t="shared" si="36"/>
        <v>503.43480457209671</v>
      </c>
      <c r="D280" s="13">
        <f t="shared" si="32"/>
        <v>646.01237946894048</v>
      </c>
      <c r="E280" s="13">
        <f t="shared" si="39"/>
        <v>96257.127298102452</v>
      </c>
      <c r="F280" s="13">
        <f t="shared" si="37"/>
        <v>53742.872701897664</v>
      </c>
      <c r="H280" s="5">
        <f t="shared" si="38"/>
        <v>-646.01237946894048</v>
      </c>
      <c r="I280" s="1">
        <f t="shared" si="33"/>
        <v>-321.28161796170417</v>
      </c>
    </row>
    <row r="281" spans="1:9" x14ac:dyDescent="0.25">
      <c r="A281" s="12">
        <f t="shared" si="34"/>
        <v>266</v>
      </c>
      <c r="B281" s="13">
        <f t="shared" si="35"/>
        <v>141.25437859364851</v>
      </c>
      <c r="C281" s="13">
        <f t="shared" si="36"/>
        <v>504.75800087529194</v>
      </c>
      <c r="D281" s="13">
        <f t="shared" si="32"/>
        <v>646.01237946894048</v>
      </c>
      <c r="E281" s="13">
        <f t="shared" si="39"/>
        <v>96761.885298977737</v>
      </c>
      <c r="F281" s="13">
        <f t="shared" si="37"/>
        <v>53238.114701022372</v>
      </c>
      <c r="H281" s="5">
        <f t="shared" si="38"/>
        <v>-646.01237946894048</v>
      </c>
      <c r="I281" s="1">
        <f t="shared" si="33"/>
        <v>-320.43588247408599</v>
      </c>
    </row>
    <row r="282" spans="1:9" x14ac:dyDescent="0.25">
      <c r="A282" s="12">
        <f t="shared" si="34"/>
        <v>267</v>
      </c>
      <c r="B282" s="13">
        <f t="shared" si="35"/>
        <v>139.9277044847058</v>
      </c>
      <c r="C282" s="13">
        <f t="shared" si="36"/>
        <v>506.08467498423465</v>
      </c>
      <c r="D282" s="13">
        <f t="shared" si="32"/>
        <v>646.01237946894048</v>
      </c>
      <c r="E282" s="13">
        <f t="shared" si="39"/>
        <v>97267.969973961968</v>
      </c>
      <c r="F282" s="13">
        <f t="shared" si="37"/>
        <v>52732.030026038141</v>
      </c>
      <c r="H282" s="5">
        <f t="shared" si="38"/>
        <v>-646.01237946894048</v>
      </c>
      <c r="I282" s="1">
        <f t="shared" si="33"/>
        <v>-319.59237328413025</v>
      </c>
    </row>
    <row r="283" spans="1:9" x14ac:dyDescent="0.25">
      <c r="A283" s="12">
        <f t="shared" si="34"/>
        <v>268</v>
      </c>
      <c r="B283" s="13">
        <f t="shared" si="35"/>
        <v>138.59754342917029</v>
      </c>
      <c r="C283" s="13">
        <f t="shared" si="36"/>
        <v>507.41483603977019</v>
      </c>
      <c r="D283" s="13">
        <f t="shared" si="32"/>
        <v>646.01237946894048</v>
      </c>
      <c r="E283" s="13">
        <f t="shared" si="39"/>
        <v>97775.384810001735</v>
      </c>
      <c r="F283" s="13">
        <f t="shared" si="37"/>
        <v>52224.615189998374</v>
      </c>
      <c r="H283" s="5">
        <f t="shared" si="38"/>
        <v>-646.01237946894048</v>
      </c>
      <c r="I283" s="1">
        <f t="shared" si="33"/>
        <v>-318.75108453137409</v>
      </c>
    </row>
    <row r="284" spans="1:9" x14ac:dyDescent="0.25">
      <c r="A284" s="12">
        <f t="shared" si="34"/>
        <v>269</v>
      </c>
      <c r="B284" s="13">
        <f t="shared" si="35"/>
        <v>137.26388626217141</v>
      </c>
      <c r="C284" s="13">
        <f t="shared" si="36"/>
        <v>508.74849320676907</v>
      </c>
      <c r="D284" s="13">
        <f t="shared" si="32"/>
        <v>646.01237946894048</v>
      </c>
      <c r="E284" s="13">
        <f t="shared" si="39"/>
        <v>98284.133303208509</v>
      </c>
      <c r="F284" s="13">
        <f t="shared" si="37"/>
        <v>51715.866696791607</v>
      </c>
      <c r="H284" s="5">
        <f t="shared" si="38"/>
        <v>-646.01237946894048</v>
      </c>
      <c r="I284" s="1">
        <f t="shared" si="33"/>
        <v>-317.9120103707819</v>
      </c>
    </row>
    <row r="285" spans="1:9" x14ac:dyDescent="0.25">
      <c r="A285" s="12">
        <f t="shared" si="34"/>
        <v>270</v>
      </c>
      <c r="B285" s="13">
        <f t="shared" si="35"/>
        <v>135.92672379475013</v>
      </c>
      <c r="C285" s="13">
        <f t="shared" si="36"/>
        <v>510.08565567419032</v>
      </c>
      <c r="D285" s="13">
        <f t="shared" si="32"/>
        <v>646.01237946894048</v>
      </c>
      <c r="E285" s="13">
        <f t="shared" si="39"/>
        <v>98794.218958882702</v>
      </c>
      <c r="F285" s="13">
        <f t="shared" si="37"/>
        <v>51205.781041117414</v>
      </c>
      <c r="H285" s="5">
        <f t="shared" si="38"/>
        <v>-646.01237946894048</v>
      </c>
      <c r="I285" s="1">
        <f t="shared" si="33"/>
        <v>-317.07514497270415</v>
      </c>
    </row>
    <row r="286" spans="1:9" x14ac:dyDescent="0.25">
      <c r="A286" s="12">
        <f t="shared" si="34"/>
        <v>271</v>
      </c>
      <c r="B286" s="13">
        <f t="shared" si="35"/>
        <v>134.5860468137958</v>
      </c>
      <c r="C286" s="13">
        <f t="shared" si="36"/>
        <v>511.42633265514468</v>
      </c>
      <c r="D286" s="13">
        <f t="shared" si="32"/>
        <v>646.01237946894048</v>
      </c>
      <c r="E286" s="13">
        <f t="shared" si="39"/>
        <v>99305.645291537847</v>
      </c>
      <c r="F286" s="13">
        <f t="shared" si="37"/>
        <v>50694.35470846227</v>
      </c>
      <c r="H286" s="5">
        <f t="shared" si="38"/>
        <v>-646.01237946894048</v>
      </c>
      <c r="I286" s="1">
        <f t="shared" si="33"/>
        <v>-316.2404825228374</v>
      </c>
    </row>
    <row r="287" spans="1:9" x14ac:dyDescent="0.25">
      <c r="A287" s="12">
        <f t="shared" si="34"/>
        <v>272</v>
      </c>
      <c r="B287" s="13">
        <f t="shared" si="35"/>
        <v>133.24184608198269</v>
      </c>
      <c r="C287" s="13">
        <f t="shared" si="36"/>
        <v>512.77053338695782</v>
      </c>
      <c r="D287" s="13">
        <f t="shared" si="32"/>
        <v>646.01237946894048</v>
      </c>
      <c r="E287" s="13">
        <f t="shared" si="39"/>
        <v>99818.415824924799</v>
      </c>
      <c r="F287" s="13">
        <f t="shared" si="37"/>
        <v>50181.58417507531</v>
      </c>
      <c r="H287" s="5">
        <f t="shared" si="38"/>
        <v>-646.01237946894048</v>
      </c>
      <c r="I287" s="1">
        <f t="shared" si="33"/>
        <v>-315.40801722218356</v>
      </c>
    </row>
    <row r="288" spans="1:9" x14ac:dyDescent="0.25">
      <c r="A288" s="12">
        <f t="shared" si="34"/>
        <v>273</v>
      </c>
      <c r="B288" s="13">
        <f t="shared" si="35"/>
        <v>131.89411233770608</v>
      </c>
      <c r="C288" s="13">
        <f t="shared" si="36"/>
        <v>514.11826713123446</v>
      </c>
      <c r="D288" s="13">
        <f t="shared" si="32"/>
        <v>646.01237946894048</v>
      </c>
      <c r="E288" s="13">
        <f t="shared" si="39"/>
        <v>100332.53409205604</v>
      </c>
      <c r="F288" s="13">
        <f t="shared" si="37"/>
        <v>49667.465907944075</v>
      </c>
      <c r="H288" s="5">
        <f t="shared" si="38"/>
        <v>-646.01237946894048</v>
      </c>
      <c r="I288" s="1">
        <f t="shared" si="33"/>
        <v>-314.57774328700987</v>
      </c>
    </row>
    <row r="289" spans="1:9" x14ac:dyDescent="0.25">
      <c r="A289" s="12">
        <f t="shared" si="34"/>
        <v>274</v>
      </c>
      <c r="B289" s="13">
        <f t="shared" si="35"/>
        <v>130.54283629501882</v>
      </c>
      <c r="C289" s="13">
        <f t="shared" si="36"/>
        <v>515.46954317392169</v>
      </c>
      <c r="D289" s="13">
        <f t="shared" si="32"/>
        <v>646.01237946894048</v>
      </c>
      <c r="E289" s="13">
        <f t="shared" si="39"/>
        <v>100848.00363522996</v>
      </c>
      <c r="F289" s="13">
        <f t="shared" si="37"/>
        <v>49151.996364770152</v>
      </c>
      <c r="H289" s="5">
        <f t="shared" si="38"/>
        <v>-646.01237946894048</v>
      </c>
      <c r="I289" s="1">
        <f t="shared" si="33"/>
        <v>-313.74965494880826</v>
      </c>
    </row>
    <row r="290" spans="1:9" x14ac:dyDescent="0.25">
      <c r="A290" s="12">
        <f t="shared" si="34"/>
        <v>275</v>
      </c>
      <c r="B290" s="13">
        <f t="shared" si="35"/>
        <v>129.18800864356703</v>
      </c>
      <c r="C290" s="13">
        <f t="shared" si="36"/>
        <v>516.82437082537342</v>
      </c>
      <c r="D290" s="13">
        <f t="shared" si="32"/>
        <v>646.01237946894048</v>
      </c>
      <c r="E290" s="13">
        <f t="shared" si="39"/>
        <v>101364.82800605534</v>
      </c>
      <c r="F290" s="13">
        <f t="shared" si="37"/>
        <v>48635.171993944779</v>
      </c>
      <c r="H290" s="5">
        <f t="shared" si="38"/>
        <v>-646.01237946894048</v>
      </c>
      <c r="I290" s="1">
        <f t="shared" si="33"/>
        <v>-312.92374645425571</v>
      </c>
    </row>
    <row r="291" spans="1:9" x14ac:dyDescent="0.25">
      <c r="A291" s="12">
        <f t="shared" si="34"/>
        <v>276</v>
      </c>
      <c r="B291" s="13">
        <f t="shared" si="35"/>
        <v>127.82962004852615</v>
      </c>
      <c r="C291" s="13">
        <f t="shared" si="36"/>
        <v>518.1827594204143</v>
      </c>
      <c r="D291" s="13">
        <f t="shared" si="32"/>
        <v>646.01237946894048</v>
      </c>
      <c r="E291" s="13">
        <f t="shared" si="39"/>
        <v>101883.01076547574</v>
      </c>
      <c r="F291" s="13">
        <f t="shared" si="37"/>
        <v>48116.989234524364</v>
      </c>
      <c r="H291" s="5">
        <f t="shared" si="38"/>
        <v>-646.01237946894048</v>
      </c>
      <c r="I291" s="1">
        <f t="shared" si="33"/>
        <v>-312.10001206517427</v>
      </c>
    </row>
    <row r="292" spans="1:9" x14ac:dyDescent="0.25">
      <c r="A292" s="12">
        <f t="shared" si="34"/>
        <v>277</v>
      </c>
      <c r="B292" s="13">
        <f t="shared" si="35"/>
        <v>126.46766115053654</v>
      </c>
      <c r="C292" s="13">
        <f t="shared" si="36"/>
        <v>519.54471831840397</v>
      </c>
      <c r="D292" s="13">
        <f t="shared" si="32"/>
        <v>646.01237946894048</v>
      </c>
      <c r="E292" s="13">
        <f t="shared" si="39"/>
        <v>102402.55548379415</v>
      </c>
      <c r="F292" s="13">
        <f t="shared" si="37"/>
        <v>47597.444516205964</v>
      </c>
      <c r="H292" s="5">
        <f t="shared" si="38"/>
        <v>-646.01237946894048</v>
      </c>
      <c r="I292" s="1">
        <f t="shared" si="33"/>
        <v>-311.278446058491</v>
      </c>
    </row>
    <row r="293" spans="1:9" x14ac:dyDescent="0.25">
      <c r="A293" s="12">
        <f t="shared" si="34"/>
        <v>278</v>
      </c>
      <c r="B293" s="13">
        <f t="shared" si="35"/>
        <v>125.10212256563901</v>
      </c>
      <c r="C293" s="13">
        <f t="shared" si="36"/>
        <v>520.9102569033015</v>
      </c>
      <c r="D293" s="13">
        <f t="shared" si="32"/>
        <v>646.01237946894048</v>
      </c>
      <c r="E293" s="13">
        <f t="shared" si="39"/>
        <v>102923.46574069744</v>
      </c>
      <c r="F293" s="13">
        <f t="shared" si="37"/>
        <v>47076.534259302665</v>
      </c>
      <c r="H293" s="5">
        <f t="shared" si="38"/>
        <v>-646.01237946894048</v>
      </c>
      <c r="I293" s="1">
        <f t="shared" si="33"/>
        <v>-310.45904272619805</v>
      </c>
    </row>
    <row r="294" spans="1:9" x14ac:dyDescent="0.25">
      <c r="A294" s="12">
        <f t="shared" si="34"/>
        <v>279</v>
      </c>
      <c r="B294" s="13">
        <f t="shared" si="35"/>
        <v>123.73299488521013</v>
      </c>
      <c r="C294" s="13">
        <f t="shared" si="36"/>
        <v>522.27938458373035</v>
      </c>
      <c r="D294" s="13">
        <f t="shared" si="32"/>
        <v>646.01237946894048</v>
      </c>
      <c r="E294" s="13">
        <f t="shared" si="39"/>
        <v>103445.74512528117</v>
      </c>
      <c r="F294" s="13">
        <f t="shared" si="37"/>
        <v>46554.254874718936</v>
      </c>
      <c r="H294" s="5">
        <f t="shared" si="38"/>
        <v>-646.01237946894048</v>
      </c>
      <c r="I294" s="1">
        <f t="shared" si="33"/>
        <v>-309.6417963753135</v>
      </c>
    </row>
    <row r="295" spans="1:9" x14ac:dyDescent="0.25">
      <c r="A295" s="12">
        <f t="shared" si="34"/>
        <v>280</v>
      </c>
      <c r="B295" s="13">
        <f t="shared" si="35"/>
        <v>122.36026867589749</v>
      </c>
      <c r="C295" s="13">
        <f t="shared" si="36"/>
        <v>523.65211079304299</v>
      </c>
      <c r="D295" s="13">
        <f t="shared" si="32"/>
        <v>646.01237946894048</v>
      </c>
      <c r="E295" s="13">
        <f t="shared" si="39"/>
        <v>103969.39723607422</v>
      </c>
      <c r="F295" s="13">
        <f t="shared" si="37"/>
        <v>46030.60276392589</v>
      </c>
      <c r="H295" s="5">
        <f t="shared" si="38"/>
        <v>-646.01237946894048</v>
      </c>
      <c r="I295" s="1">
        <f t="shared" si="33"/>
        <v>-308.82670132784136</v>
      </c>
    </row>
    <row r="296" spans="1:9" x14ac:dyDescent="0.25">
      <c r="A296" s="12">
        <f t="shared" si="34"/>
        <v>281</v>
      </c>
      <c r="B296" s="13">
        <f t="shared" si="35"/>
        <v>120.98393447955461</v>
      </c>
      <c r="C296" s="13">
        <f t="shared" si="36"/>
        <v>525.02844498938589</v>
      </c>
      <c r="D296" s="13">
        <f t="shared" si="32"/>
        <v>646.01237946894048</v>
      </c>
      <c r="E296" s="13">
        <f t="shared" si="39"/>
        <v>104494.4256810636</v>
      </c>
      <c r="F296" s="13">
        <f t="shared" si="37"/>
        <v>45505.574318936502</v>
      </c>
      <c r="H296" s="5">
        <f t="shared" si="38"/>
        <v>-646.01237946894048</v>
      </c>
      <c r="I296" s="1">
        <f t="shared" si="33"/>
        <v>-308.01375192073243</v>
      </c>
    </row>
    <row r="297" spans="1:9" x14ac:dyDescent="0.25">
      <c r="A297" s="12">
        <f t="shared" si="34"/>
        <v>282</v>
      </c>
      <c r="B297" s="13">
        <f t="shared" si="35"/>
        <v>119.60398281317585</v>
      </c>
      <c r="C297" s="13">
        <f t="shared" si="36"/>
        <v>526.40839665576459</v>
      </c>
      <c r="D297" s="13">
        <f t="shared" si="32"/>
        <v>646.01237946894048</v>
      </c>
      <c r="E297" s="13">
        <f t="shared" si="39"/>
        <v>105020.83407771937</v>
      </c>
      <c r="F297" s="13">
        <f t="shared" si="37"/>
        <v>44979.165922280736</v>
      </c>
      <c r="H297" s="5">
        <f t="shared" si="38"/>
        <v>-646.01237946894048</v>
      </c>
      <c r="I297" s="1">
        <f t="shared" si="33"/>
        <v>-307.20294250584453</v>
      </c>
    </row>
    <row r="298" spans="1:9" x14ac:dyDescent="0.25">
      <c r="A298" s="12">
        <f t="shared" si="34"/>
        <v>283</v>
      </c>
      <c r="B298" s="13">
        <f t="shared" si="35"/>
        <v>118.220404168831</v>
      </c>
      <c r="C298" s="13">
        <f t="shared" si="36"/>
        <v>527.79197530010947</v>
      </c>
      <c r="D298" s="13">
        <f t="shared" si="32"/>
        <v>646.01237946894048</v>
      </c>
      <c r="E298" s="13">
        <f t="shared" si="39"/>
        <v>105548.62605301947</v>
      </c>
      <c r="F298" s="13">
        <f t="shared" si="37"/>
        <v>44451.373946980624</v>
      </c>
      <c r="H298" s="5">
        <f t="shared" si="38"/>
        <v>-646.01237946894048</v>
      </c>
      <c r="I298" s="1">
        <f t="shared" si="33"/>
        <v>-306.39426744990379</v>
      </c>
    </row>
    <row r="299" spans="1:9" x14ac:dyDescent="0.25">
      <c r="A299" s="12">
        <f t="shared" si="34"/>
        <v>284</v>
      </c>
      <c r="B299" s="13">
        <f t="shared" si="35"/>
        <v>116.83318901359983</v>
      </c>
      <c r="C299" s="13">
        <f t="shared" si="36"/>
        <v>529.17919045534063</v>
      </c>
      <c r="D299" s="13">
        <f t="shared" si="32"/>
        <v>646.01237946894048</v>
      </c>
      <c r="E299" s="13">
        <f t="shared" si="39"/>
        <v>106077.80524347481</v>
      </c>
      <c r="F299" s="13">
        <f t="shared" si="37"/>
        <v>43922.194756525285</v>
      </c>
      <c r="H299" s="5">
        <f t="shared" si="38"/>
        <v>-646.01237946894048</v>
      </c>
      <c r="I299" s="1">
        <f t="shared" si="33"/>
        <v>-305.58772113446537</v>
      </c>
    </row>
    <row r="300" spans="1:9" x14ac:dyDescent="0.25">
      <c r="A300" s="12">
        <f t="shared" si="34"/>
        <v>285</v>
      </c>
      <c r="B300" s="13">
        <f t="shared" si="35"/>
        <v>115.44232778950641</v>
      </c>
      <c r="C300" s="13">
        <f t="shared" si="36"/>
        <v>530.57005167943407</v>
      </c>
      <c r="D300" s="13">
        <f t="shared" si="32"/>
        <v>646.01237946894048</v>
      </c>
      <c r="E300" s="13">
        <f t="shared" si="39"/>
        <v>106608.37529515424</v>
      </c>
      <c r="F300" s="13">
        <f t="shared" si="37"/>
        <v>43391.624704845854</v>
      </c>
      <c r="H300" s="5">
        <f t="shared" si="38"/>
        <v>-646.01237946894048</v>
      </c>
      <c r="I300" s="1">
        <f t="shared" si="33"/>
        <v>-304.78329795587393</v>
      </c>
    </row>
    <row r="301" spans="1:9" x14ac:dyDescent="0.25">
      <c r="A301" s="12">
        <f t="shared" si="34"/>
        <v>286</v>
      </c>
      <c r="B301" s="13">
        <f t="shared" si="35"/>
        <v>114.04781091345315</v>
      </c>
      <c r="C301" s="13">
        <f t="shared" si="36"/>
        <v>531.96456855548729</v>
      </c>
      <c r="D301" s="13">
        <f t="shared" si="32"/>
        <v>646.01237946894048</v>
      </c>
      <c r="E301" s="13">
        <f t="shared" si="39"/>
        <v>107140.33986370973</v>
      </c>
      <c r="F301" s="13">
        <f t="shared" si="37"/>
        <v>42859.660136290368</v>
      </c>
      <c r="H301" s="5">
        <f t="shared" si="38"/>
        <v>-646.01237946894048</v>
      </c>
      <c r="I301" s="1">
        <f t="shared" si="33"/>
        <v>-303.98099232522532</v>
      </c>
    </row>
    <row r="302" spans="1:9" x14ac:dyDescent="0.25">
      <c r="A302" s="12">
        <f t="shared" si="34"/>
        <v>287</v>
      </c>
      <c r="B302" s="13">
        <f t="shared" si="35"/>
        <v>112.64962877715492</v>
      </c>
      <c r="C302" s="13">
        <f t="shared" si="36"/>
        <v>533.36275069178555</v>
      </c>
      <c r="D302" s="13">
        <f t="shared" si="32"/>
        <v>646.01237946894048</v>
      </c>
      <c r="E302" s="13">
        <f t="shared" si="39"/>
        <v>107673.70261440151</v>
      </c>
      <c r="F302" s="13">
        <f t="shared" si="37"/>
        <v>42326.297385598584</v>
      </c>
      <c r="H302" s="5">
        <f t="shared" si="38"/>
        <v>-646.01237946894048</v>
      </c>
      <c r="I302" s="1">
        <f t="shared" si="33"/>
        <v>-303.18079866832761</v>
      </c>
    </row>
    <row r="303" spans="1:9" x14ac:dyDescent="0.25">
      <c r="A303" s="12">
        <f t="shared" si="34"/>
        <v>288</v>
      </c>
      <c r="B303" s="13">
        <f t="shared" si="35"/>
        <v>111.24777174707273</v>
      </c>
      <c r="C303" s="13">
        <f t="shared" si="36"/>
        <v>534.76460772186772</v>
      </c>
      <c r="D303" s="13">
        <f t="shared" si="32"/>
        <v>646.01237946894048</v>
      </c>
      <c r="E303" s="13">
        <f t="shared" si="39"/>
        <v>108208.46722212338</v>
      </c>
      <c r="F303" s="13">
        <f t="shared" si="37"/>
        <v>41791.532777876717</v>
      </c>
      <c r="H303" s="5">
        <f t="shared" si="38"/>
        <v>-646.01237946894048</v>
      </c>
      <c r="I303" s="1">
        <f t="shared" si="33"/>
        <v>-302.38271142566197</v>
      </c>
    </row>
    <row r="304" spans="1:9" x14ac:dyDescent="0.25">
      <c r="A304" s="12">
        <f t="shared" si="34"/>
        <v>289</v>
      </c>
      <c r="B304" s="13">
        <f t="shared" si="35"/>
        <v>109.84223016434746</v>
      </c>
      <c r="C304" s="13">
        <f t="shared" si="36"/>
        <v>536.170149304593</v>
      </c>
      <c r="D304" s="13">
        <f t="shared" si="32"/>
        <v>646.01237946894048</v>
      </c>
      <c r="E304" s="13">
        <f t="shared" si="39"/>
        <v>108744.63737142798</v>
      </c>
      <c r="F304" s="13">
        <f t="shared" si="37"/>
        <v>41255.362628572126</v>
      </c>
      <c r="H304" s="5">
        <f t="shared" si="38"/>
        <v>-646.01237946894048</v>
      </c>
      <c r="I304" s="1">
        <f t="shared" si="33"/>
        <v>-301.5867250523446</v>
      </c>
    </row>
    <row r="305" spans="1:9" x14ac:dyDescent="0.25">
      <c r="A305" s="12">
        <f t="shared" si="34"/>
        <v>290</v>
      </c>
      <c r="B305" s="13">
        <f t="shared" si="35"/>
        <v>108.43299434473319</v>
      </c>
      <c r="C305" s="13">
        <f t="shared" si="36"/>
        <v>537.57938512420731</v>
      </c>
      <c r="D305" s="13">
        <f t="shared" si="32"/>
        <v>646.01237946894048</v>
      </c>
      <c r="E305" s="13">
        <f t="shared" si="39"/>
        <v>109282.21675655218</v>
      </c>
      <c r="F305" s="13">
        <f t="shared" si="37"/>
        <v>40717.783243447921</v>
      </c>
      <c r="H305" s="5">
        <f t="shared" si="38"/>
        <v>-646.01237946894048</v>
      </c>
      <c r="I305" s="1">
        <f t="shared" si="33"/>
        <v>-300.79283401808789</v>
      </c>
    </row>
    <row r="306" spans="1:9" x14ac:dyDescent="0.25">
      <c r="A306" s="12">
        <f t="shared" si="34"/>
        <v>291</v>
      </c>
      <c r="B306" s="13">
        <f t="shared" si="35"/>
        <v>107.02005457853059</v>
      </c>
      <c r="C306" s="13">
        <f t="shared" si="36"/>
        <v>538.99232489040992</v>
      </c>
      <c r="D306" s="13">
        <f t="shared" si="32"/>
        <v>646.01237946894048</v>
      </c>
      <c r="E306" s="13">
        <f t="shared" si="39"/>
        <v>109821.20908144259</v>
      </c>
      <c r="F306" s="13">
        <f t="shared" si="37"/>
        <v>40178.790918557512</v>
      </c>
      <c r="H306" s="5">
        <f t="shared" si="38"/>
        <v>-646.01237946894048</v>
      </c>
      <c r="I306" s="1">
        <f t="shared" si="33"/>
        <v>-300.00103280716201</v>
      </c>
    </row>
    <row r="307" spans="1:9" x14ac:dyDescent="0.25">
      <c r="A307" s="12">
        <f t="shared" si="34"/>
        <v>292</v>
      </c>
      <c r="B307" s="13">
        <f t="shared" si="35"/>
        <v>105.60340113051994</v>
      </c>
      <c r="C307" s="13">
        <f t="shared" si="36"/>
        <v>540.40897833842052</v>
      </c>
      <c r="D307" s="13">
        <f t="shared" si="32"/>
        <v>646.01237946894048</v>
      </c>
      <c r="E307" s="13">
        <f t="shared" si="39"/>
        <v>110361.61805978102</v>
      </c>
      <c r="F307" s="13">
        <f t="shared" si="37"/>
        <v>39638.381940219093</v>
      </c>
      <c r="H307" s="5">
        <f t="shared" si="38"/>
        <v>-646.01237946894048</v>
      </c>
      <c r="I307" s="1">
        <f t="shared" si="33"/>
        <v>-299.21131591835655</v>
      </c>
    </row>
    <row r="308" spans="1:9" x14ac:dyDescent="0.25">
      <c r="A308" s="12">
        <f t="shared" si="34"/>
        <v>293</v>
      </c>
      <c r="B308" s="13">
        <f t="shared" si="35"/>
        <v>104.18302423989411</v>
      </c>
      <c r="C308" s="13">
        <f t="shared" si="36"/>
        <v>541.82935522904631</v>
      </c>
      <c r="D308" s="13">
        <f t="shared" si="32"/>
        <v>646.01237946894048</v>
      </c>
      <c r="E308" s="13">
        <f t="shared" si="39"/>
        <v>110903.44741501006</v>
      </c>
      <c r="F308" s="13">
        <f t="shared" si="37"/>
        <v>39096.552584990044</v>
      </c>
      <c r="H308" s="5">
        <f t="shared" si="38"/>
        <v>-646.01237946894048</v>
      </c>
      <c r="I308" s="1">
        <f t="shared" si="33"/>
        <v>-298.42367786494248</v>
      </c>
    </row>
    <row r="309" spans="1:9" x14ac:dyDescent="0.25">
      <c r="A309" s="12">
        <f t="shared" si="34"/>
        <v>294</v>
      </c>
      <c r="B309" s="13">
        <f t="shared" si="35"/>
        <v>102.75891412019122</v>
      </c>
      <c r="C309" s="13">
        <f t="shared" si="36"/>
        <v>543.25346534874927</v>
      </c>
      <c r="D309" s="13">
        <f t="shared" si="32"/>
        <v>646.01237946894048</v>
      </c>
      <c r="E309" s="13">
        <f t="shared" si="39"/>
        <v>111446.70088035881</v>
      </c>
      <c r="F309" s="13">
        <f t="shared" si="37"/>
        <v>38553.299119641291</v>
      </c>
      <c r="H309" s="5">
        <f t="shared" si="38"/>
        <v>-646.01237946894048</v>
      </c>
      <c r="I309" s="1">
        <f t="shared" si="33"/>
        <v>-297.63811317463404</v>
      </c>
    </row>
    <row r="310" spans="1:9" x14ac:dyDescent="0.25">
      <c r="A310" s="12">
        <f t="shared" si="34"/>
        <v>295</v>
      </c>
      <c r="B310" s="13">
        <f t="shared" si="35"/>
        <v>101.33106095922733</v>
      </c>
      <c r="C310" s="13">
        <f t="shared" si="36"/>
        <v>544.68131850971315</v>
      </c>
      <c r="D310" s="13">
        <f t="shared" si="32"/>
        <v>646.01237946894048</v>
      </c>
      <c r="E310" s="13">
        <f t="shared" si="39"/>
        <v>111991.38219886852</v>
      </c>
      <c r="F310" s="13">
        <f t="shared" si="37"/>
        <v>38008.617801131579</v>
      </c>
      <c r="H310" s="5">
        <f t="shared" si="38"/>
        <v>-646.01237946894048</v>
      </c>
      <c r="I310" s="1">
        <f t="shared" si="33"/>
        <v>-296.85461638955036</v>
      </c>
    </row>
    <row r="311" spans="1:9" x14ac:dyDescent="0.25">
      <c r="A311" s="12">
        <f t="shared" si="34"/>
        <v>296</v>
      </c>
      <c r="B311" s="13">
        <f t="shared" si="35"/>
        <v>99.899454919028784</v>
      </c>
      <c r="C311" s="13">
        <f t="shared" si="36"/>
        <v>546.11292454991167</v>
      </c>
      <c r="D311" s="13">
        <f t="shared" si="32"/>
        <v>646.01237946894048</v>
      </c>
      <c r="E311" s="13">
        <f t="shared" si="39"/>
        <v>112537.49512341844</v>
      </c>
      <c r="F311" s="13">
        <f t="shared" si="37"/>
        <v>37462.504876581668</v>
      </c>
      <c r="H311" s="5">
        <f t="shared" si="38"/>
        <v>-646.01237946894048</v>
      </c>
      <c r="I311" s="1">
        <f t="shared" si="33"/>
        <v>-296.07318206617794</v>
      </c>
    </row>
    <row r="312" spans="1:9" x14ac:dyDescent="0.25">
      <c r="A312" s="12">
        <f t="shared" si="34"/>
        <v>297</v>
      </c>
      <c r="B312" s="13">
        <f t="shared" si="35"/>
        <v>98.464086135764362</v>
      </c>
      <c r="C312" s="13">
        <f t="shared" si="36"/>
        <v>547.54829333317616</v>
      </c>
      <c r="D312" s="13">
        <f t="shared" si="32"/>
        <v>646.01237946894048</v>
      </c>
      <c r="E312" s="13">
        <f t="shared" si="39"/>
        <v>113085.04341675162</v>
      </c>
      <c r="F312" s="13">
        <f t="shared" si="37"/>
        <v>36914.956583248495</v>
      </c>
      <c r="H312" s="5">
        <f t="shared" si="38"/>
        <v>-646.01237946894048</v>
      </c>
      <c r="I312" s="1">
        <f t="shared" si="33"/>
        <v>-295.29380477533266</v>
      </c>
    </row>
    <row r="313" spans="1:9" x14ac:dyDescent="0.25">
      <c r="A313" s="12">
        <f t="shared" si="34"/>
        <v>298</v>
      </c>
      <c r="B313" s="13">
        <f t="shared" si="35"/>
        <v>97.024944719677393</v>
      </c>
      <c r="C313" s="13">
        <f t="shared" si="36"/>
        <v>548.98743474926312</v>
      </c>
      <c r="D313" s="13">
        <f t="shared" si="32"/>
        <v>646.01237946894048</v>
      </c>
      <c r="E313" s="13">
        <f t="shared" si="39"/>
        <v>113634.03085150088</v>
      </c>
      <c r="F313" s="13">
        <f t="shared" si="37"/>
        <v>36365.969148499229</v>
      </c>
      <c r="H313" s="5">
        <f t="shared" si="38"/>
        <v>-646.01237946894048</v>
      </c>
      <c r="I313" s="1">
        <f t="shared" si="33"/>
        <v>-294.5164791021221</v>
      </c>
    </row>
    <row r="314" spans="1:9" x14ac:dyDescent="0.25">
      <c r="A314" s="12">
        <f t="shared" si="34"/>
        <v>299</v>
      </c>
      <c r="B314" s="13">
        <f t="shared" si="35"/>
        <v>95.582020755017609</v>
      </c>
      <c r="C314" s="13">
        <f t="shared" si="36"/>
        <v>550.43035871392283</v>
      </c>
      <c r="D314" s="13">
        <f t="shared" si="32"/>
        <v>646.01237946894048</v>
      </c>
      <c r="E314" s="13">
        <f t="shared" si="39"/>
        <v>114184.46121021481</v>
      </c>
      <c r="F314" s="13">
        <f t="shared" si="37"/>
        <v>35815.538789785307</v>
      </c>
      <c r="H314" s="5">
        <f t="shared" si="38"/>
        <v>-646.01237946894048</v>
      </c>
      <c r="I314" s="1">
        <f t="shared" si="33"/>
        <v>-293.74119964590778</v>
      </c>
    </row>
    <row r="315" spans="1:9" x14ac:dyDescent="0.25">
      <c r="A315" s="12">
        <f t="shared" si="34"/>
        <v>300</v>
      </c>
      <c r="B315" s="13">
        <f t="shared" si="35"/>
        <v>94.135304299972788</v>
      </c>
      <c r="C315" s="13">
        <f t="shared" si="36"/>
        <v>551.87707516896774</v>
      </c>
      <c r="D315" s="13">
        <f t="shared" si="32"/>
        <v>646.01237946894048</v>
      </c>
      <c r="E315" s="13">
        <f t="shared" si="39"/>
        <v>114736.33828538378</v>
      </c>
      <c r="F315" s="13">
        <f t="shared" si="37"/>
        <v>35263.661714616341</v>
      </c>
      <c r="H315" s="5">
        <f t="shared" si="38"/>
        <v>-646.01237946894048</v>
      </c>
      <c r="I315" s="1">
        <f t="shared" si="33"/>
        <v>-292.96796102026798</v>
      </c>
    </row>
    <row r="316" spans="1:9" x14ac:dyDescent="0.25">
      <c r="A316" s="12">
        <f t="shared" si="34"/>
        <v>301</v>
      </c>
      <c r="B316" s="13">
        <f t="shared" si="35"/>
        <v>92.684785386600296</v>
      </c>
      <c r="C316" s="13">
        <f t="shared" si="36"/>
        <v>553.32759408234017</v>
      </c>
      <c r="D316" s="13">
        <f t="shared" si="32"/>
        <v>646.01237946894048</v>
      </c>
      <c r="E316" s="13">
        <f t="shared" si="39"/>
        <v>115289.66587946612</v>
      </c>
      <c r="F316" s="13">
        <f t="shared" si="37"/>
        <v>34710.334120534004</v>
      </c>
      <c r="H316" s="5">
        <f t="shared" si="38"/>
        <v>-646.01237946894048</v>
      </c>
      <c r="I316" s="1">
        <f t="shared" si="33"/>
        <v>-292.19675785295982</v>
      </c>
    </row>
    <row r="317" spans="1:9" x14ac:dyDescent="0.25">
      <c r="A317" s="12">
        <f t="shared" si="34"/>
        <v>302</v>
      </c>
      <c r="B317" s="13">
        <f t="shared" si="35"/>
        <v>91.230454020758387</v>
      </c>
      <c r="C317" s="13">
        <f t="shared" si="36"/>
        <v>554.78192544818205</v>
      </c>
      <c r="D317" s="13">
        <f t="shared" si="32"/>
        <v>646.01237946894048</v>
      </c>
      <c r="E317" s="13">
        <f t="shared" si="39"/>
        <v>115844.44780491431</v>
      </c>
      <c r="F317" s="13">
        <f t="shared" si="37"/>
        <v>34155.552195085824</v>
      </c>
      <c r="H317" s="5">
        <f t="shared" si="38"/>
        <v>-646.01237946894048</v>
      </c>
      <c r="I317" s="1">
        <f t="shared" si="33"/>
        <v>-291.4275847858824</v>
      </c>
    </row>
    <row r="318" spans="1:9" x14ac:dyDescent="0.25">
      <c r="A318" s="12">
        <f t="shared" si="34"/>
        <v>303</v>
      </c>
      <c r="B318" s="13">
        <f t="shared" si="35"/>
        <v>89.772300182037299</v>
      </c>
      <c r="C318" s="13">
        <f t="shared" si="36"/>
        <v>556.24007928690321</v>
      </c>
      <c r="D318" s="13">
        <f t="shared" si="32"/>
        <v>646.01237946894048</v>
      </c>
      <c r="E318" s="13">
        <f t="shared" si="39"/>
        <v>116400.68788420121</v>
      </c>
      <c r="F318" s="13">
        <f t="shared" si="37"/>
        <v>33599.312115798923</v>
      </c>
      <c r="H318" s="5">
        <f t="shared" si="38"/>
        <v>-646.01237946894048</v>
      </c>
      <c r="I318" s="1">
        <f t="shared" si="33"/>
        <v>-290.66043647503938</v>
      </c>
    </row>
    <row r="319" spans="1:9" x14ac:dyDescent="0.25">
      <c r="A319" s="12">
        <f t="shared" si="34"/>
        <v>304</v>
      </c>
      <c r="B319" s="13">
        <f t="shared" si="35"/>
        <v>88.310313823690322</v>
      </c>
      <c r="C319" s="13">
        <f t="shared" si="36"/>
        <v>557.70206564525017</v>
      </c>
      <c r="D319" s="13">
        <f t="shared" si="32"/>
        <v>646.01237946894048</v>
      </c>
      <c r="E319" s="13">
        <f t="shared" si="39"/>
        <v>116958.38994984646</v>
      </c>
      <c r="F319" s="13">
        <f t="shared" si="37"/>
        <v>33041.610050153671</v>
      </c>
      <c r="H319" s="5">
        <f t="shared" si="38"/>
        <v>-646.01237946894048</v>
      </c>
      <c r="I319" s="1">
        <f t="shared" si="33"/>
        <v>-289.89530759050166</v>
      </c>
    </row>
    <row r="320" spans="1:9" x14ac:dyDescent="0.25">
      <c r="A320" s="12">
        <f t="shared" si="34"/>
        <v>305</v>
      </c>
      <c r="B320" s="13">
        <f t="shared" si="35"/>
        <v>86.844484872564436</v>
      </c>
      <c r="C320" s="13">
        <f t="shared" si="36"/>
        <v>559.16789459637607</v>
      </c>
      <c r="D320" s="13">
        <f t="shared" si="32"/>
        <v>646.01237946894048</v>
      </c>
      <c r="E320" s="13">
        <f t="shared" si="39"/>
        <v>117517.55784444284</v>
      </c>
      <c r="F320" s="13">
        <f t="shared" si="37"/>
        <v>32482.442155557295</v>
      </c>
      <c r="H320" s="5">
        <f t="shared" si="38"/>
        <v>-646.01237946894048</v>
      </c>
      <c r="I320" s="1">
        <f t="shared" si="33"/>
        <v>-289.13219281637078</v>
      </c>
    </row>
    <row r="321" spans="1:9" x14ac:dyDescent="0.25">
      <c r="A321" s="12">
        <f t="shared" si="34"/>
        <v>306</v>
      </c>
      <c r="B321" s="13">
        <f t="shared" si="35"/>
        <v>85.374803229031073</v>
      </c>
      <c r="C321" s="13">
        <f t="shared" si="36"/>
        <v>560.63757623990944</v>
      </c>
      <c r="D321" s="13">
        <f t="shared" si="32"/>
        <v>646.01237946894048</v>
      </c>
      <c r="E321" s="13">
        <f t="shared" si="39"/>
        <v>118078.19542068275</v>
      </c>
      <c r="F321" s="13">
        <f t="shared" si="37"/>
        <v>31921.804579317384</v>
      </c>
      <c r="H321" s="5">
        <f t="shared" si="38"/>
        <v>-646.01237946894048</v>
      </c>
      <c r="I321" s="1">
        <f t="shared" si="33"/>
        <v>-288.37108685074156</v>
      </c>
    </row>
    <row r="322" spans="1:9" x14ac:dyDescent="0.25">
      <c r="A322" s="12">
        <f t="shared" si="34"/>
        <v>307</v>
      </c>
      <c r="B322" s="13">
        <f t="shared" si="35"/>
        <v>83.901258766916342</v>
      </c>
      <c r="C322" s="13">
        <f t="shared" si="36"/>
        <v>562.1111207020241</v>
      </c>
      <c r="D322" s="13">
        <f t="shared" si="32"/>
        <v>646.01237946894048</v>
      </c>
      <c r="E322" s="13">
        <f t="shared" si="39"/>
        <v>118640.30654138478</v>
      </c>
      <c r="F322" s="13">
        <f t="shared" si="37"/>
        <v>31359.693458615358</v>
      </c>
      <c r="H322" s="5">
        <f t="shared" si="38"/>
        <v>-646.01237946894048</v>
      </c>
      <c r="I322" s="1">
        <f t="shared" si="33"/>
        <v>-287.61198440566574</v>
      </c>
    </row>
    <row r="323" spans="1:9" x14ac:dyDescent="0.25">
      <c r="A323" s="12">
        <f t="shared" si="34"/>
        <v>308</v>
      </c>
      <c r="B323" s="13">
        <f t="shared" si="35"/>
        <v>82.423841333431426</v>
      </c>
      <c r="C323" s="13">
        <f t="shared" si="36"/>
        <v>563.588538135509</v>
      </c>
      <c r="D323" s="13">
        <f t="shared" si="32"/>
        <v>646.01237946894048</v>
      </c>
      <c r="E323" s="13">
        <f t="shared" si="39"/>
        <v>119203.89507952028</v>
      </c>
      <c r="F323" s="13">
        <f t="shared" si="37"/>
        <v>30796.104920479851</v>
      </c>
      <c r="H323" s="5">
        <f t="shared" si="38"/>
        <v>-646.01237946894048</v>
      </c>
      <c r="I323" s="1">
        <f t="shared" si="33"/>
        <v>-286.85488020711449</v>
      </c>
    </row>
    <row r="324" spans="1:9" x14ac:dyDescent="0.25">
      <c r="A324" s="12">
        <f t="shared" si="34"/>
        <v>309</v>
      </c>
      <c r="B324" s="13">
        <f t="shared" si="35"/>
        <v>80.942540749102548</v>
      </c>
      <c r="C324" s="13">
        <f t="shared" si="36"/>
        <v>565.06983871983789</v>
      </c>
      <c r="D324" s="13">
        <f t="shared" si="32"/>
        <v>646.01237946894048</v>
      </c>
      <c r="E324" s="13">
        <f t="shared" si="39"/>
        <v>119768.96491824012</v>
      </c>
      <c r="F324" s="13">
        <f t="shared" si="37"/>
        <v>30231.035081760012</v>
      </c>
      <c r="H324" s="5">
        <f t="shared" si="38"/>
        <v>-646.01237946894048</v>
      </c>
      <c r="I324" s="1">
        <f t="shared" si="33"/>
        <v>-286.09976899494262</v>
      </c>
    </row>
    <row r="325" spans="1:9" x14ac:dyDescent="0.25">
      <c r="A325" s="12">
        <f t="shared" si="34"/>
        <v>310</v>
      </c>
      <c r="B325" s="13">
        <f t="shared" si="35"/>
        <v>79.457346807700787</v>
      </c>
      <c r="C325" s="13">
        <f t="shared" si="36"/>
        <v>566.55503266123969</v>
      </c>
      <c r="D325" s="13">
        <f t="shared" si="32"/>
        <v>646.01237946894048</v>
      </c>
      <c r="E325" s="13">
        <f t="shared" si="39"/>
        <v>120335.51995090136</v>
      </c>
      <c r="F325" s="13">
        <f t="shared" si="37"/>
        <v>29664.480049098773</v>
      </c>
      <c r="H325" s="5">
        <f t="shared" si="38"/>
        <v>-646.01237946894048</v>
      </c>
      <c r="I325" s="1">
        <f t="shared" si="33"/>
        <v>-285.34664552285153</v>
      </c>
    </row>
    <row r="326" spans="1:9" x14ac:dyDescent="0.25">
      <c r="A326" s="12">
        <f t="shared" si="34"/>
        <v>311</v>
      </c>
      <c r="B326" s="13">
        <f t="shared" si="35"/>
        <v>77.968249276171889</v>
      </c>
      <c r="C326" s="13">
        <f t="shared" si="36"/>
        <v>568.04413019276853</v>
      </c>
      <c r="D326" s="13">
        <f t="shared" si="32"/>
        <v>646.01237946894048</v>
      </c>
      <c r="E326" s="13">
        <f t="shared" si="39"/>
        <v>120903.56408109413</v>
      </c>
      <c r="F326" s="13">
        <f t="shared" si="37"/>
        <v>29096.435918906005</v>
      </c>
      <c r="H326" s="5">
        <f t="shared" si="38"/>
        <v>-646.01237946894048</v>
      </c>
      <c r="I326" s="1">
        <f t="shared" si="33"/>
        <v>-284.59550455835284</v>
      </c>
    </row>
    <row r="327" spans="1:9" x14ac:dyDescent="0.25">
      <c r="A327" s="12">
        <f t="shared" si="34"/>
        <v>312</v>
      </c>
      <c r="B327" s="13">
        <f t="shared" si="35"/>
        <v>76.475237894565652</v>
      </c>
      <c r="C327" s="13">
        <f t="shared" si="36"/>
        <v>569.5371415743748</v>
      </c>
      <c r="D327" s="13">
        <f t="shared" si="32"/>
        <v>646.01237946894048</v>
      </c>
      <c r="E327" s="13">
        <f t="shared" si="39"/>
        <v>121473.1012226685</v>
      </c>
      <c r="F327" s="13">
        <f t="shared" si="37"/>
        <v>28526.898777331629</v>
      </c>
      <c r="H327" s="5">
        <f t="shared" si="38"/>
        <v>-646.01237946894048</v>
      </c>
      <c r="I327" s="1">
        <f t="shared" si="33"/>
        <v>-283.84634088273208</v>
      </c>
    </row>
    <row r="328" spans="1:9" x14ac:dyDescent="0.25">
      <c r="A328" s="12">
        <f t="shared" si="34"/>
        <v>313</v>
      </c>
      <c r="B328" s="13">
        <f t="shared" si="35"/>
        <v>74.978302375965228</v>
      </c>
      <c r="C328" s="13">
        <f t="shared" si="36"/>
        <v>571.03407709297528</v>
      </c>
      <c r="D328" s="13">
        <f t="shared" si="32"/>
        <v>646.01237946894048</v>
      </c>
      <c r="E328" s="13">
        <f t="shared" si="39"/>
        <v>122044.13529976147</v>
      </c>
      <c r="F328" s="13">
        <f t="shared" si="37"/>
        <v>27955.864700238653</v>
      </c>
      <c r="H328" s="5">
        <f t="shared" si="38"/>
        <v>-646.01237946894048</v>
      </c>
      <c r="I328" s="1">
        <f t="shared" si="33"/>
        <v>-283.09914929101251</v>
      </c>
    </row>
    <row r="329" spans="1:9" x14ac:dyDescent="0.25">
      <c r="A329" s="12">
        <f t="shared" si="34"/>
        <v>314</v>
      </c>
      <c r="B329" s="13">
        <f t="shared" si="35"/>
        <v>73.477432406416369</v>
      </c>
      <c r="C329" s="13">
        <f t="shared" si="36"/>
        <v>572.53494706252411</v>
      </c>
      <c r="D329" s="13">
        <f t="shared" si="32"/>
        <v>646.01237946894048</v>
      </c>
      <c r="E329" s="13">
        <f t="shared" si="39"/>
        <v>122616.670246824</v>
      </c>
      <c r="F329" s="13">
        <f t="shared" si="37"/>
        <v>27383.329753176131</v>
      </c>
      <c r="H329" s="5">
        <f t="shared" si="38"/>
        <v>-646.01237946894048</v>
      </c>
      <c r="I329" s="1">
        <f t="shared" si="33"/>
        <v>-282.3539245919186</v>
      </c>
    </row>
    <row r="330" spans="1:9" x14ac:dyDescent="0.25">
      <c r="A330" s="12">
        <f t="shared" si="34"/>
        <v>315</v>
      </c>
      <c r="B330" s="13">
        <f t="shared" si="35"/>
        <v>71.9726176448562</v>
      </c>
      <c r="C330" s="13">
        <f t="shared" si="36"/>
        <v>574.03976182408428</v>
      </c>
      <c r="D330" s="13">
        <f t="shared" si="32"/>
        <v>646.01237946894048</v>
      </c>
      <c r="E330" s="13">
        <f t="shared" si="39"/>
        <v>123190.71000864808</v>
      </c>
      <c r="F330" s="13">
        <f t="shared" si="37"/>
        <v>26809.289991352045</v>
      </c>
      <c r="H330" s="5">
        <f t="shared" si="38"/>
        <v>-646.01237946894048</v>
      </c>
      <c r="I330" s="1">
        <f t="shared" si="33"/>
        <v>-281.6106616078406</v>
      </c>
    </row>
    <row r="331" spans="1:9" x14ac:dyDescent="0.25">
      <c r="A331" s="12">
        <f t="shared" si="34"/>
        <v>316</v>
      </c>
      <c r="B331" s="13">
        <f t="shared" si="35"/>
        <v>70.463847723042107</v>
      </c>
      <c r="C331" s="13">
        <f t="shared" si="36"/>
        <v>575.54853174589834</v>
      </c>
      <c r="D331" s="13">
        <f t="shared" si="32"/>
        <v>646.01237946894048</v>
      </c>
      <c r="E331" s="13">
        <f t="shared" si="39"/>
        <v>123766.25854039397</v>
      </c>
      <c r="F331" s="13">
        <f t="shared" si="37"/>
        <v>26233.741459606146</v>
      </c>
      <c r="H331" s="5">
        <f t="shared" si="38"/>
        <v>-646.01237946894048</v>
      </c>
      <c r="I331" s="1">
        <f t="shared" si="33"/>
        <v>-280.86935517479793</v>
      </c>
    </row>
    <row r="332" spans="1:9" x14ac:dyDescent="0.25">
      <c r="A332" s="12">
        <f t="shared" si="34"/>
        <v>317</v>
      </c>
      <c r="B332" s="13">
        <f t="shared" si="35"/>
        <v>68.951112245480203</v>
      </c>
      <c r="C332" s="13">
        <f t="shared" si="36"/>
        <v>577.06126722346028</v>
      </c>
      <c r="D332" s="13">
        <f t="shared" si="32"/>
        <v>646.01237946894048</v>
      </c>
      <c r="E332" s="13">
        <f t="shared" si="39"/>
        <v>124343.31980761743</v>
      </c>
      <c r="F332" s="13">
        <f t="shared" si="37"/>
        <v>25656.680192382686</v>
      </c>
      <c r="H332" s="5">
        <f t="shared" si="38"/>
        <v>-646.01237946894048</v>
      </c>
      <c r="I332" s="1">
        <f t="shared" si="33"/>
        <v>-280.13000014240379</v>
      </c>
    </row>
    <row r="333" spans="1:9" x14ac:dyDescent="0.25">
      <c r="A333" s="12">
        <f t="shared" si="34"/>
        <v>318</v>
      </c>
      <c r="B333" s="13">
        <f t="shared" si="35"/>
        <v>67.434400789353759</v>
      </c>
      <c r="C333" s="13">
        <f t="shared" si="36"/>
        <v>578.57797867958675</v>
      </c>
      <c r="D333" s="13">
        <f t="shared" si="32"/>
        <v>646.01237946894048</v>
      </c>
      <c r="E333" s="13">
        <f t="shared" si="39"/>
        <v>124921.89778629702</v>
      </c>
      <c r="F333" s="13">
        <f t="shared" si="37"/>
        <v>25078.1022137031</v>
      </c>
      <c r="H333" s="5">
        <f t="shared" si="38"/>
        <v>-646.01237946894048</v>
      </c>
      <c r="I333" s="1">
        <f t="shared" si="33"/>
        <v>-279.39259137382885</v>
      </c>
    </row>
    <row r="334" spans="1:9" x14ac:dyDescent="0.25">
      <c r="A334" s="12">
        <f t="shared" si="34"/>
        <v>319</v>
      </c>
      <c r="B334" s="13">
        <f t="shared" si="35"/>
        <v>65.91370290445137</v>
      </c>
      <c r="C334" s="13">
        <f t="shared" si="36"/>
        <v>580.0986765644891</v>
      </c>
      <c r="D334" s="13">
        <f t="shared" si="32"/>
        <v>646.01237946894048</v>
      </c>
      <c r="E334" s="13">
        <f t="shared" si="39"/>
        <v>125501.99646286151</v>
      </c>
      <c r="F334" s="13">
        <f t="shared" si="37"/>
        <v>24498.003537138611</v>
      </c>
      <c r="H334" s="5">
        <f t="shared" si="38"/>
        <v>-646.01237946894048</v>
      </c>
      <c r="I334" s="1">
        <f t="shared" si="33"/>
        <v>-278.65712374576623</v>
      </c>
    </row>
    <row r="335" spans="1:9" x14ac:dyDescent="0.25">
      <c r="A335" s="12">
        <f t="shared" si="34"/>
        <v>320</v>
      </c>
      <c r="B335" s="13">
        <f t="shared" si="35"/>
        <v>64.389008113094945</v>
      </c>
      <c r="C335" s="13">
        <f t="shared" si="36"/>
        <v>581.62337135584551</v>
      </c>
      <c r="D335" s="13">
        <f t="shared" si="32"/>
        <v>646.01237946894048</v>
      </c>
      <c r="E335" s="13">
        <f t="shared" si="39"/>
        <v>126083.61983421736</v>
      </c>
      <c r="F335" s="13">
        <f t="shared" si="37"/>
        <v>23916.380165782764</v>
      </c>
      <c r="H335" s="5">
        <f t="shared" si="38"/>
        <v>-646.01237946894048</v>
      </c>
      <c r="I335" s="1">
        <f t="shared" si="33"/>
        <v>-277.92359214839519</v>
      </c>
    </row>
    <row r="336" spans="1:9" x14ac:dyDescent="0.25">
      <c r="A336" s="12">
        <f t="shared" si="34"/>
        <v>321</v>
      </c>
      <c r="B336" s="13">
        <f t="shared" si="35"/>
        <v>62.860305910067531</v>
      </c>
      <c r="C336" s="13">
        <f t="shared" si="36"/>
        <v>583.15207355887298</v>
      </c>
      <c r="D336" s="13">
        <f t="shared" ref="D336:D399" si="40">IF(A336&lt;&gt;"",$B$11,"")</f>
        <v>646.01237946894048</v>
      </c>
      <c r="E336" s="13">
        <f t="shared" si="39"/>
        <v>126666.77190777623</v>
      </c>
      <c r="F336" s="13">
        <f t="shared" si="37"/>
        <v>23333.22809222389</v>
      </c>
      <c r="H336" s="5">
        <f t="shared" si="38"/>
        <v>-646.01237946894048</v>
      </c>
      <c r="I336" s="1">
        <f t="shared" ref="I336:I399" si="41">IF(A336&lt;&gt;"",H336*(1+$H$5)^(-A336),"")</f>
        <v>-277.19199148534631</v>
      </c>
    </row>
    <row r="337" spans="1:9" x14ac:dyDescent="0.25">
      <c r="A337" s="12">
        <f t="shared" ref="A337:A400" si="42">IFERROR(IF(A336=$B$10,"",A336+1),"")</f>
        <v>322</v>
      </c>
      <c r="B337" s="13">
        <f t="shared" ref="B337:B400" si="43">IF(A337&lt;&gt;"",F336*$C$9,"")</f>
        <v>61.32758576254092</v>
      </c>
      <c r="C337" s="13">
        <f t="shared" ref="C337:C400" si="44">IF(A337&lt;&gt;"",D337-B337,"")</f>
        <v>584.68479370639955</v>
      </c>
      <c r="D337" s="13">
        <f t="shared" si="40"/>
        <v>646.01237946894048</v>
      </c>
      <c r="E337" s="13">
        <f t="shared" si="39"/>
        <v>127251.45670148263</v>
      </c>
      <c r="F337" s="13">
        <f t="shared" ref="F337:F400" si="45">IF(A337&lt;&gt;"",F336-C337,"")</f>
        <v>22748.543298517488</v>
      </c>
      <c r="H337" s="5">
        <f t="shared" ref="H337:H400" si="46">IF(A337&lt;&gt;"",-D337,"")</f>
        <v>-646.01237946894048</v>
      </c>
      <c r="I337" s="1">
        <f t="shared" si="41"/>
        <v>-276.46231667366555</v>
      </c>
    </row>
    <row r="338" spans="1:9" x14ac:dyDescent="0.25">
      <c r="A338" s="12">
        <f t="shared" si="42"/>
        <v>323</v>
      </c>
      <c r="B338" s="13">
        <f t="shared" si="43"/>
        <v>59.790837110003089</v>
      </c>
      <c r="C338" s="13">
        <f t="shared" si="44"/>
        <v>586.22154235893743</v>
      </c>
      <c r="D338" s="13">
        <f t="shared" si="40"/>
        <v>646.01237946894048</v>
      </c>
      <c r="E338" s="13">
        <f t="shared" ref="E338:E401" si="47">IF(A338&lt;&gt;"",E337+C338,"")</f>
        <v>127837.67824384157</v>
      </c>
      <c r="F338" s="13">
        <f t="shared" si="45"/>
        <v>22162.321756158552</v>
      </c>
      <c r="H338" s="5">
        <f t="shared" si="46"/>
        <v>-646.01237946894048</v>
      </c>
      <c r="I338" s="1">
        <f t="shared" si="41"/>
        <v>-275.73456264377927</v>
      </c>
    </row>
    <row r="339" spans="1:9" x14ac:dyDescent="0.25">
      <c r="A339" s="12">
        <f t="shared" si="42"/>
        <v>324</v>
      </c>
      <c r="B339" s="13">
        <f t="shared" si="43"/>
        <v>58.250049364185443</v>
      </c>
      <c r="C339" s="13">
        <f t="shared" si="44"/>
        <v>587.76233010475505</v>
      </c>
      <c r="D339" s="13">
        <f t="shared" si="40"/>
        <v>646.01237946894048</v>
      </c>
      <c r="E339" s="13">
        <f t="shared" si="47"/>
        <v>128425.44057394633</v>
      </c>
      <c r="F339" s="13">
        <f t="shared" si="45"/>
        <v>21574.559426053798</v>
      </c>
      <c r="H339" s="5">
        <f t="shared" si="46"/>
        <v>-646.01237946894048</v>
      </c>
      <c r="I339" s="1">
        <f t="shared" si="41"/>
        <v>-275.00872433945864</v>
      </c>
    </row>
    <row r="340" spans="1:9" x14ac:dyDescent="0.25">
      <c r="A340" s="12">
        <f t="shared" si="42"/>
        <v>325</v>
      </c>
      <c r="B340" s="13">
        <f t="shared" si="43"/>
        <v>56.705211908989817</v>
      </c>
      <c r="C340" s="13">
        <f t="shared" si="44"/>
        <v>589.3071675599507</v>
      </c>
      <c r="D340" s="13">
        <f t="shared" si="40"/>
        <v>646.01237946894048</v>
      </c>
      <c r="E340" s="13">
        <f t="shared" si="47"/>
        <v>129014.74774150627</v>
      </c>
      <c r="F340" s="13">
        <f t="shared" si="45"/>
        <v>20985.252258493849</v>
      </c>
      <c r="H340" s="5">
        <f t="shared" si="46"/>
        <v>-646.01237946894048</v>
      </c>
      <c r="I340" s="1">
        <f t="shared" si="41"/>
        <v>-274.28479671778507</v>
      </c>
    </row>
    <row r="341" spans="1:9" x14ac:dyDescent="0.25">
      <c r="A341" s="12">
        <f t="shared" si="42"/>
        <v>326</v>
      </c>
      <c r="B341" s="13">
        <f t="shared" si="43"/>
        <v>55.156314100415393</v>
      </c>
      <c r="C341" s="13">
        <f t="shared" si="44"/>
        <v>590.85606536852504</v>
      </c>
      <c r="D341" s="13">
        <f t="shared" si="40"/>
        <v>646.01237946894048</v>
      </c>
      <c r="E341" s="13">
        <f t="shared" si="47"/>
        <v>129605.6038068748</v>
      </c>
      <c r="F341" s="13">
        <f t="shared" si="45"/>
        <v>20394.396193125325</v>
      </c>
      <c r="H341" s="5">
        <f t="shared" si="46"/>
        <v>-646.01237946894048</v>
      </c>
      <c r="I341" s="1">
        <f t="shared" si="41"/>
        <v>-273.56277474911462</v>
      </c>
    </row>
    <row r="342" spans="1:9" x14ac:dyDescent="0.25">
      <c r="A342" s="12">
        <f t="shared" si="42"/>
        <v>327</v>
      </c>
      <c r="B342" s="13">
        <f t="shared" si="43"/>
        <v>53.603345266485306</v>
      </c>
      <c r="C342" s="13">
        <f t="shared" si="44"/>
        <v>592.40903420245513</v>
      </c>
      <c r="D342" s="13">
        <f t="shared" si="40"/>
        <v>646.01237946894048</v>
      </c>
      <c r="E342" s="13">
        <f t="shared" si="47"/>
        <v>130198.01284107726</v>
      </c>
      <c r="F342" s="13">
        <f t="shared" si="45"/>
        <v>19801.987158922871</v>
      </c>
      <c r="H342" s="5">
        <f t="shared" si="46"/>
        <v>-646.01237946894048</v>
      </c>
      <c r="I342" s="1">
        <f t="shared" si="41"/>
        <v>-272.84265341704338</v>
      </c>
    </row>
    <row r="343" spans="1:9" x14ac:dyDescent="0.25">
      <c r="A343" s="12">
        <f t="shared" si="42"/>
        <v>328</v>
      </c>
      <c r="B343" s="13">
        <f t="shared" si="43"/>
        <v>52.046294707173161</v>
      </c>
      <c r="C343" s="13">
        <f t="shared" si="44"/>
        <v>593.96608476176732</v>
      </c>
      <c r="D343" s="13">
        <f t="shared" si="40"/>
        <v>646.01237946894048</v>
      </c>
      <c r="E343" s="13">
        <f t="shared" si="47"/>
        <v>130791.97892583902</v>
      </c>
      <c r="F343" s="13">
        <f t="shared" si="45"/>
        <v>19208.021074161104</v>
      </c>
      <c r="H343" s="5">
        <f t="shared" si="46"/>
        <v>-646.01237946894048</v>
      </c>
      <c r="I343" s="1">
        <f t="shared" si="41"/>
        <v>-272.12442771837237</v>
      </c>
    </row>
    <row r="344" spans="1:9" x14ac:dyDescent="0.25">
      <c r="A344" s="12">
        <f t="shared" si="42"/>
        <v>329</v>
      </c>
      <c r="B344" s="13">
        <f t="shared" si="43"/>
        <v>50.485151694329282</v>
      </c>
      <c r="C344" s="13">
        <f t="shared" si="44"/>
        <v>595.52722777461122</v>
      </c>
      <c r="D344" s="13">
        <f t="shared" si="40"/>
        <v>646.01237946894048</v>
      </c>
      <c r="E344" s="13">
        <f t="shared" si="47"/>
        <v>131387.50615361362</v>
      </c>
      <c r="F344" s="13">
        <f t="shared" si="45"/>
        <v>18612.493846386493</v>
      </c>
      <c r="H344" s="5">
        <f t="shared" si="46"/>
        <v>-646.01237946894048</v>
      </c>
      <c r="I344" s="1">
        <f t="shared" si="41"/>
        <v>-271.40809266307326</v>
      </c>
    </row>
    <row r="345" spans="1:9" x14ac:dyDescent="0.25">
      <c r="A345" s="12">
        <f t="shared" si="42"/>
        <v>330</v>
      </c>
      <c r="B345" s="13">
        <f t="shared" si="43"/>
        <v>48.919905471606789</v>
      </c>
      <c r="C345" s="13">
        <f t="shared" si="44"/>
        <v>597.09247399733374</v>
      </c>
      <c r="D345" s="13">
        <f t="shared" si="40"/>
        <v>646.01237946894048</v>
      </c>
      <c r="E345" s="13">
        <f t="shared" si="47"/>
        <v>131984.59862761095</v>
      </c>
      <c r="F345" s="13">
        <f t="shared" si="45"/>
        <v>18015.401372389158</v>
      </c>
      <c r="H345" s="5">
        <f t="shared" si="46"/>
        <v>-646.01237946894048</v>
      </c>
      <c r="I345" s="1">
        <f t="shared" si="41"/>
        <v>-270.69364327425302</v>
      </c>
    </row>
    <row r="346" spans="1:9" x14ac:dyDescent="0.25">
      <c r="A346" s="12">
        <f t="shared" si="42"/>
        <v>331</v>
      </c>
      <c r="B346" s="13">
        <f t="shared" si="43"/>
        <v>47.350545254387519</v>
      </c>
      <c r="C346" s="13">
        <f t="shared" si="44"/>
        <v>598.66183421455298</v>
      </c>
      <c r="D346" s="13">
        <f t="shared" si="40"/>
        <v>646.01237946894048</v>
      </c>
      <c r="E346" s="13">
        <f t="shared" si="47"/>
        <v>132583.2604618255</v>
      </c>
      <c r="F346" s="13">
        <f t="shared" si="45"/>
        <v>17416.739538174606</v>
      </c>
      <c r="H346" s="5">
        <f t="shared" si="46"/>
        <v>-646.01237946894048</v>
      </c>
      <c r="I346" s="1">
        <f t="shared" si="41"/>
        <v>-269.98107458812001</v>
      </c>
    </row>
    <row r="347" spans="1:9" x14ac:dyDescent="0.25">
      <c r="A347" s="12">
        <f t="shared" si="42"/>
        <v>332</v>
      </c>
      <c r="B347" s="13">
        <f t="shared" si="43"/>
        <v>45.777060229707693</v>
      </c>
      <c r="C347" s="13">
        <f t="shared" si="44"/>
        <v>600.23531923923281</v>
      </c>
      <c r="D347" s="13">
        <f t="shared" si="40"/>
        <v>646.01237946894048</v>
      </c>
      <c r="E347" s="13">
        <f t="shared" si="47"/>
        <v>133183.49578106473</v>
      </c>
      <c r="F347" s="13">
        <f t="shared" si="45"/>
        <v>16816.504218935374</v>
      </c>
      <c r="H347" s="5">
        <f t="shared" si="46"/>
        <v>-646.01237946894048</v>
      </c>
      <c r="I347" s="1">
        <f t="shared" si="41"/>
        <v>-269.2703816539489</v>
      </c>
    </row>
    <row r="348" spans="1:9" x14ac:dyDescent="0.25">
      <c r="A348" s="12">
        <f t="shared" si="42"/>
        <v>333</v>
      </c>
      <c r="B348" s="13">
        <f t="shared" si="43"/>
        <v>44.1994395561834</v>
      </c>
      <c r="C348" s="13">
        <f t="shared" si="44"/>
        <v>601.81293991275709</v>
      </c>
      <c r="D348" s="13">
        <f t="shared" si="40"/>
        <v>646.01237946894048</v>
      </c>
      <c r="E348" s="13">
        <f t="shared" si="47"/>
        <v>133785.30872097748</v>
      </c>
      <c r="F348" s="13">
        <f t="shared" si="45"/>
        <v>16214.691279022616</v>
      </c>
      <c r="H348" s="5">
        <f t="shared" si="46"/>
        <v>-646.01237946894048</v>
      </c>
      <c r="I348" s="1">
        <f t="shared" si="41"/>
        <v>-268.56155953404675</v>
      </c>
    </row>
    <row r="349" spans="1:9" x14ac:dyDescent="0.25">
      <c r="A349" s="12">
        <f t="shared" si="42"/>
        <v>334</v>
      </c>
      <c r="B349" s="13">
        <f t="shared" si="43"/>
        <v>42.617672363935938</v>
      </c>
      <c r="C349" s="13">
        <f t="shared" si="44"/>
        <v>603.3947071050045</v>
      </c>
      <c r="D349" s="13">
        <f t="shared" si="40"/>
        <v>646.01237946894048</v>
      </c>
      <c r="E349" s="13">
        <f t="shared" si="47"/>
        <v>134388.70342808249</v>
      </c>
      <c r="F349" s="13">
        <f t="shared" si="45"/>
        <v>15611.296571917612</v>
      </c>
      <c r="H349" s="5">
        <f t="shared" si="46"/>
        <v>-646.01237946894048</v>
      </c>
      <c r="I349" s="1">
        <f t="shared" si="41"/>
        <v>-267.85460330371836</v>
      </c>
    </row>
    <row r="350" spans="1:9" x14ac:dyDescent="0.25">
      <c r="A350" s="12">
        <f t="shared" si="42"/>
        <v>335</v>
      </c>
      <c r="B350" s="13">
        <f t="shared" si="43"/>
        <v>41.031747754516907</v>
      </c>
      <c r="C350" s="13">
        <f t="shared" si="44"/>
        <v>604.98063171442357</v>
      </c>
      <c r="D350" s="13">
        <f t="shared" si="40"/>
        <v>646.01237946894048</v>
      </c>
      <c r="E350" s="13">
        <f t="shared" si="47"/>
        <v>134993.68405979691</v>
      </c>
      <c r="F350" s="13">
        <f t="shared" si="45"/>
        <v>15006.315940203189</v>
      </c>
      <c r="H350" s="5">
        <f t="shared" si="46"/>
        <v>-646.01237946894048</v>
      </c>
      <c r="I350" s="1">
        <f t="shared" si="41"/>
        <v>-267.14950805123243</v>
      </c>
    </row>
    <row r="351" spans="1:9" x14ac:dyDescent="0.25">
      <c r="A351" s="12">
        <f t="shared" si="42"/>
        <v>336</v>
      </c>
      <c r="B351" s="13">
        <f t="shared" si="43"/>
        <v>39.441654800833092</v>
      </c>
      <c r="C351" s="13">
        <f t="shared" si="44"/>
        <v>606.57072466810735</v>
      </c>
      <c r="D351" s="13">
        <f t="shared" si="40"/>
        <v>646.01237946894048</v>
      </c>
      <c r="E351" s="13">
        <f t="shared" si="47"/>
        <v>135600.25478446501</v>
      </c>
      <c r="F351" s="13">
        <f t="shared" si="45"/>
        <v>14399.745215535082</v>
      </c>
      <c r="H351" s="5">
        <f t="shared" si="46"/>
        <v>-646.01237946894048</v>
      </c>
      <c r="I351" s="1">
        <f t="shared" si="41"/>
        <v>-266.44626887778679</v>
      </c>
    </row>
    <row r="352" spans="1:9" x14ac:dyDescent="0.25">
      <c r="A352" s="12">
        <f t="shared" si="42"/>
        <v>337</v>
      </c>
      <c r="B352" s="13">
        <f t="shared" si="43"/>
        <v>37.847382547071206</v>
      </c>
      <c r="C352" s="13">
        <f t="shared" si="44"/>
        <v>608.16499692186926</v>
      </c>
      <c r="D352" s="13">
        <f t="shared" si="40"/>
        <v>646.01237946894048</v>
      </c>
      <c r="E352" s="13">
        <f t="shared" si="47"/>
        <v>136208.41978138688</v>
      </c>
      <c r="F352" s="13">
        <f t="shared" si="45"/>
        <v>13791.580218613213</v>
      </c>
      <c r="H352" s="5">
        <f t="shared" si="46"/>
        <v>-646.01237946894048</v>
      </c>
      <c r="I352" s="1">
        <f t="shared" si="41"/>
        <v>-265.7448808974753</v>
      </c>
    </row>
    <row r="353" spans="1:9" x14ac:dyDescent="0.25">
      <c r="A353" s="12">
        <f t="shared" si="42"/>
        <v>338</v>
      </c>
      <c r="B353" s="13">
        <f t="shared" si="43"/>
        <v>36.248920008622392</v>
      </c>
      <c r="C353" s="13">
        <f t="shared" si="44"/>
        <v>609.76345946031813</v>
      </c>
      <c r="D353" s="13">
        <f t="shared" si="40"/>
        <v>646.01237946894048</v>
      </c>
      <c r="E353" s="13">
        <f t="shared" si="47"/>
        <v>136818.1832408472</v>
      </c>
      <c r="F353" s="13">
        <f t="shared" si="45"/>
        <v>13181.816759152895</v>
      </c>
      <c r="H353" s="5">
        <f t="shared" si="46"/>
        <v>-646.01237946894048</v>
      </c>
      <c r="I353" s="1">
        <f t="shared" si="41"/>
        <v>-265.04533923725296</v>
      </c>
    </row>
    <row r="354" spans="1:9" x14ac:dyDescent="0.25">
      <c r="A354" s="12">
        <f t="shared" si="42"/>
        <v>339</v>
      </c>
      <c r="B354" s="13">
        <f t="shared" si="43"/>
        <v>34.646256172006538</v>
      </c>
      <c r="C354" s="13">
        <f t="shared" si="44"/>
        <v>611.36612329693389</v>
      </c>
      <c r="D354" s="13">
        <f t="shared" si="40"/>
        <v>646.01237946894048</v>
      </c>
      <c r="E354" s="13">
        <f t="shared" si="47"/>
        <v>137429.54936414413</v>
      </c>
      <c r="F354" s="13">
        <f t="shared" si="45"/>
        <v>12570.450635855961</v>
      </c>
      <c r="H354" s="5">
        <f t="shared" si="46"/>
        <v>-646.01237946894048</v>
      </c>
      <c r="I354" s="1">
        <f t="shared" si="41"/>
        <v>-264.34763903690288</v>
      </c>
    </row>
    <row r="355" spans="1:9" x14ac:dyDescent="0.25">
      <c r="A355" s="12">
        <f t="shared" si="42"/>
        <v>340</v>
      </c>
      <c r="B355" s="13">
        <f t="shared" si="43"/>
        <v>33.039379994796406</v>
      </c>
      <c r="C355" s="13">
        <f t="shared" si="44"/>
        <v>612.9729994741441</v>
      </c>
      <c r="D355" s="13">
        <f t="shared" si="40"/>
        <v>646.01237946894048</v>
      </c>
      <c r="E355" s="13">
        <f t="shared" si="47"/>
        <v>138042.52236361828</v>
      </c>
      <c r="F355" s="13">
        <f t="shared" si="45"/>
        <v>11957.477636381816</v>
      </c>
      <c r="H355" s="5">
        <f t="shared" si="46"/>
        <v>-646.01237946894048</v>
      </c>
      <c r="I355" s="1">
        <f t="shared" si="41"/>
        <v>-263.65177544900155</v>
      </c>
    </row>
    <row r="356" spans="1:9" x14ac:dyDescent="0.25">
      <c r="A356" s="12">
        <f t="shared" si="42"/>
        <v>341</v>
      </c>
      <c r="B356" s="13">
        <f t="shared" si="43"/>
        <v>31.428280405541518</v>
      </c>
      <c r="C356" s="13">
        <f t="shared" si="44"/>
        <v>614.58409906339898</v>
      </c>
      <c r="D356" s="13">
        <f t="shared" si="40"/>
        <v>646.01237946894048</v>
      </c>
      <c r="E356" s="13">
        <f t="shared" si="47"/>
        <v>138657.10646268167</v>
      </c>
      <c r="F356" s="13">
        <f t="shared" si="45"/>
        <v>11342.893537318418</v>
      </c>
      <c r="H356" s="5">
        <f t="shared" si="46"/>
        <v>-646.01237946894048</v>
      </c>
      <c r="I356" s="1">
        <f t="shared" si="41"/>
        <v>-262.9577436388862</v>
      </c>
    </row>
    <row r="357" spans="1:9" x14ac:dyDescent="0.25">
      <c r="A357" s="12">
        <f t="shared" si="42"/>
        <v>342</v>
      </c>
      <c r="B357" s="13">
        <f t="shared" si="43"/>
        <v>29.812946303691909</v>
      </c>
      <c r="C357" s="13">
        <f t="shared" si="44"/>
        <v>616.19943316524859</v>
      </c>
      <c r="D357" s="13">
        <f t="shared" si="40"/>
        <v>646.01237946894048</v>
      </c>
      <c r="E357" s="13">
        <f t="shared" si="47"/>
        <v>139273.30589584692</v>
      </c>
      <c r="F357" s="13">
        <f t="shared" si="45"/>
        <v>10726.694104153168</v>
      </c>
      <c r="H357" s="5">
        <f t="shared" si="46"/>
        <v>-646.01237946894048</v>
      </c>
      <c r="I357" s="1">
        <f t="shared" si="41"/>
        <v>-262.26553878462062</v>
      </c>
    </row>
    <row r="358" spans="1:9" x14ac:dyDescent="0.25">
      <c r="A358" s="12">
        <f t="shared" si="42"/>
        <v>343</v>
      </c>
      <c r="B358" s="13">
        <f t="shared" si="43"/>
        <v>28.193366559521621</v>
      </c>
      <c r="C358" s="13">
        <f t="shared" si="44"/>
        <v>617.81901290941892</v>
      </c>
      <c r="D358" s="13">
        <f t="shared" si="40"/>
        <v>646.01237946894048</v>
      </c>
      <c r="E358" s="13">
        <f t="shared" si="47"/>
        <v>139891.12490875635</v>
      </c>
      <c r="F358" s="13">
        <f t="shared" si="45"/>
        <v>10108.87509124375</v>
      </c>
      <c r="H358" s="5">
        <f t="shared" si="46"/>
        <v>-646.01237946894048</v>
      </c>
      <c r="I358" s="1">
        <f t="shared" si="41"/>
        <v>-261.57515607696172</v>
      </c>
    </row>
    <row r="359" spans="1:9" x14ac:dyDescent="0.25">
      <c r="A359" s="12">
        <f t="shared" si="42"/>
        <v>344</v>
      </c>
      <c r="B359" s="13">
        <f t="shared" si="43"/>
        <v>26.569530014052035</v>
      </c>
      <c r="C359" s="13">
        <f t="shared" si="44"/>
        <v>619.44284945488846</v>
      </c>
      <c r="D359" s="13">
        <f t="shared" si="40"/>
        <v>646.01237946894048</v>
      </c>
      <c r="E359" s="13">
        <f t="shared" si="47"/>
        <v>140510.56775821123</v>
      </c>
      <c r="F359" s="13">
        <f t="shared" si="45"/>
        <v>9489.4322417888616</v>
      </c>
      <c r="H359" s="5">
        <f t="shared" si="46"/>
        <v>-646.01237946894048</v>
      </c>
      <c r="I359" s="1">
        <f t="shared" si="41"/>
        <v>-260.88659071932619</v>
      </c>
    </row>
    <row r="360" spans="1:9" x14ac:dyDescent="0.25">
      <c r="A360" s="12">
        <f t="shared" si="42"/>
        <v>345</v>
      </c>
      <c r="B360" s="13">
        <f t="shared" si="43"/>
        <v>24.941425478974963</v>
      </c>
      <c r="C360" s="13">
        <f t="shared" si="44"/>
        <v>621.07095398996557</v>
      </c>
      <c r="D360" s="13">
        <f t="shared" si="40"/>
        <v>646.01237946894048</v>
      </c>
      <c r="E360" s="13">
        <f t="shared" si="47"/>
        <v>141131.63871220118</v>
      </c>
      <c r="F360" s="13">
        <f t="shared" si="45"/>
        <v>8868.3612877988962</v>
      </c>
      <c r="H360" s="5">
        <f t="shared" si="46"/>
        <v>-646.01237946894048</v>
      </c>
      <c r="I360" s="1">
        <f t="shared" si="41"/>
        <v>-260.19983792775713</v>
      </c>
    </row>
    <row r="361" spans="1:9" x14ac:dyDescent="0.25">
      <c r="A361" s="12">
        <f t="shared" si="42"/>
        <v>346</v>
      </c>
      <c r="B361" s="13">
        <f t="shared" si="43"/>
        <v>23.309041736575587</v>
      </c>
      <c r="C361" s="13">
        <f t="shared" si="44"/>
        <v>622.70333773236484</v>
      </c>
      <c r="D361" s="13">
        <f t="shared" si="40"/>
        <v>646.01237946894048</v>
      </c>
      <c r="E361" s="13">
        <f t="shared" si="47"/>
        <v>141754.34204993353</v>
      </c>
      <c r="F361" s="13">
        <f t="shared" si="45"/>
        <v>8245.6579500665321</v>
      </c>
      <c r="H361" s="5">
        <f t="shared" si="46"/>
        <v>-646.01237946894048</v>
      </c>
      <c r="I361" s="1">
        <f t="shared" si="41"/>
        <v>-259.51489293089077</v>
      </c>
    </row>
    <row r="362" spans="1:9" x14ac:dyDescent="0.25">
      <c r="A362" s="12">
        <f t="shared" si="42"/>
        <v>347</v>
      </c>
      <c r="B362" s="13">
        <f t="shared" si="43"/>
        <v>21.672367539655145</v>
      </c>
      <c r="C362" s="13">
        <f t="shared" si="44"/>
        <v>624.34001192928531</v>
      </c>
      <c r="D362" s="13">
        <f t="shared" si="40"/>
        <v>646.01237946894048</v>
      </c>
      <c r="E362" s="13">
        <f t="shared" si="47"/>
        <v>142378.68206186281</v>
      </c>
      <c r="F362" s="13">
        <f t="shared" si="45"/>
        <v>7621.3179381372465</v>
      </c>
      <c r="H362" s="5">
        <f t="shared" si="46"/>
        <v>-646.01237946894048</v>
      </c>
      <c r="I362" s="1">
        <f t="shared" si="41"/>
        <v>-258.83175096992358</v>
      </c>
    </row>
    <row r="363" spans="1:9" x14ac:dyDescent="0.25">
      <c r="A363" s="12">
        <f t="shared" si="42"/>
        <v>348</v>
      </c>
      <c r="B363" s="13">
        <f t="shared" si="43"/>
        <v>20.031391611453447</v>
      </c>
      <c r="C363" s="13">
        <f t="shared" si="44"/>
        <v>625.98098785748698</v>
      </c>
      <c r="D363" s="13">
        <f t="shared" si="40"/>
        <v>646.01237946894048</v>
      </c>
      <c r="E363" s="13">
        <f t="shared" si="47"/>
        <v>143004.66304972029</v>
      </c>
      <c r="F363" s="13">
        <f t="shared" si="45"/>
        <v>6995.3369502797595</v>
      </c>
      <c r="H363" s="5">
        <f t="shared" si="46"/>
        <v>-646.01237946894048</v>
      </c>
      <c r="I363" s="1">
        <f t="shared" si="41"/>
        <v>-258.15040729857901</v>
      </c>
    </row>
    <row r="364" spans="1:9" x14ac:dyDescent="0.25">
      <c r="A364" s="12">
        <f t="shared" si="42"/>
        <v>349</v>
      </c>
      <c r="B364" s="13">
        <f t="shared" si="43"/>
        <v>18.386102645571178</v>
      </c>
      <c r="C364" s="13">
        <f t="shared" si="44"/>
        <v>627.62627682336927</v>
      </c>
      <c r="D364" s="13">
        <f t="shared" si="40"/>
        <v>646.01237946894048</v>
      </c>
      <c r="E364" s="13">
        <f t="shared" si="47"/>
        <v>143632.28932654366</v>
      </c>
      <c r="F364" s="13">
        <f t="shared" si="45"/>
        <v>6367.7106734563904</v>
      </c>
      <c r="H364" s="5">
        <f t="shared" si="46"/>
        <v>-646.01237946894048</v>
      </c>
      <c r="I364" s="1">
        <f t="shared" si="41"/>
        <v>-257.47085718307409</v>
      </c>
    </row>
    <row r="365" spans="1:9" x14ac:dyDescent="0.25">
      <c r="A365" s="12">
        <f t="shared" si="42"/>
        <v>350</v>
      </c>
      <c r="B365" s="13">
        <f t="shared" si="43"/>
        <v>16.736489305892004</v>
      </c>
      <c r="C365" s="13">
        <f t="shared" si="44"/>
        <v>629.27589016304853</v>
      </c>
      <c r="D365" s="13">
        <f t="shared" si="40"/>
        <v>646.01237946894048</v>
      </c>
      <c r="E365" s="13">
        <f t="shared" si="47"/>
        <v>144261.56521670672</v>
      </c>
      <c r="F365" s="13">
        <f t="shared" si="45"/>
        <v>5738.4347832933418</v>
      </c>
      <c r="H365" s="5">
        <f t="shared" si="46"/>
        <v>-646.01237946894048</v>
      </c>
      <c r="I365" s="1">
        <f t="shared" si="41"/>
        <v>-256.79309590208743</v>
      </c>
    </row>
    <row r="366" spans="1:9" x14ac:dyDescent="0.25">
      <c r="A366" s="12">
        <f t="shared" si="42"/>
        <v>351</v>
      </c>
      <c r="B366" s="13">
        <f t="shared" si="43"/>
        <v>15.082540226504443</v>
      </c>
      <c r="C366" s="13">
        <f t="shared" si="44"/>
        <v>630.92983924243606</v>
      </c>
      <c r="D366" s="13">
        <f t="shared" si="40"/>
        <v>646.01237946894048</v>
      </c>
      <c r="E366" s="13">
        <f t="shared" si="47"/>
        <v>144892.49505594914</v>
      </c>
      <c r="F366" s="13">
        <f t="shared" si="45"/>
        <v>5107.5049440509056</v>
      </c>
      <c r="H366" s="5">
        <f t="shared" si="46"/>
        <v>-646.01237946894048</v>
      </c>
      <c r="I366" s="1">
        <f t="shared" si="41"/>
        <v>-256.11711874672591</v>
      </c>
    </row>
    <row r="367" spans="1:9" x14ac:dyDescent="0.25">
      <c r="A367" s="12">
        <f t="shared" si="42"/>
        <v>352</v>
      </c>
      <c r="B367" s="13">
        <f t="shared" si="43"/>
        <v>13.424244011623582</v>
      </c>
      <c r="C367" s="13">
        <f t="shared" si="44"/>
        <v>632.58813545731687</v>
      </c>
      <c r="D367" s="13">
        <f t="shared" si="40"/>
        <v>646.01237946894048</v>
      </c>
      <c r="E367" s="13">
        <f t="shared" si="47"/>
        <v>145525.08319140645</v>
      </c>
      <c r="F367" s="13">
        <f t="shared" si="45"/>
        <v>4474.9168085935889</v>
      </c>
      <c r="H367" s="5">
        <f t="shared" si="46"/>
        <v>-646.01237946894048</v>
      </c>
      <c r="I367" s="1">
        <f t="shared" si="41"/>
        <v>-255.44292102049172</v>
      </c>
    </row>
    <row r="368" spans="1:9" x14ac:dyDescent="0.25">
      <c r="A368" s="12">
        <f t="shared" si="42"/>
        <v>353</v>
      </c>
      <c r="B368" s="13">
        <f t="shared" si="43"/>
        <v>11.761589235512536</v>
      </c>
      <c r="C368" s="13">
        <f t="shared" si="44"/>
        <v>634.25079023342789</v>
      </c>
      <c r="D368" s="13">
        <f t="shared" si="40"/>
        <v>646.01237946894048</v>
      </c>
      <c r="E368" s="13">
        <f t="shared" si="47"/>
        <v>146159.33398163988</v>
      </c>
      <c r="F368" s="13">
        <f t="shared" si="45"/>
        <v>3840.6660183601612</v>
      </c>
      <c r="H368" s="5">
        <f t="shared" si="46"/>
        <v>-646.01237946894048</v>
      </c>
      <c r="I368" s="1">
        <f t="shared" si="41"/>
        <v>-254.77049803925038</v>
      </c>
    </row>
    <row r="369" spans="1:9" x14ac:dyDescent="0.25">
      <c r="A369" s="12">
        <f t="shared" si="42"/>
        <v>354</v>
      </c>
      <c r="B369" s="13">
        <f t="shared" si="43"/>
        <v>10.09456444240374</v>
      </c>
      <c r="C369" s="13">
        <f t="shared" si="44"/>
        <v>635.91781502653669</v>
      </c>
      <c r="D369" s="13">
        <f t="shared" si="40"/>
        <v>646.01237946894048</v>
      </c>
      <c r="E369" s="13">
        <f t="shared" si="47"/>
        <v>146795.25179666642</v>
      </c>
      <c r="F369" s="13">
        <f t="shared" si="45"/>
        <v>3204.7482033336246</v>
      </c>
      <c r="H369" s="5">
        <f t="shared" si="46"/>
        <v>-646.01237946894048</v>
      </c>
      <c r="I369" s="1">
        <f t="shared" si="41"/>
        <v>-254.09984513119758</v>
      </c>
    </row>
    <row r="370" spans="1:9" x14ac:dyDescent="0.25">
      <c r="A370" s="12">
        <f t="shared" si="42"/>
        <v>355</v>
      </c>
      <c r="B370" s="13">
        <f t="shared" si="43"/>
        <v>8.4231581464200058</v>
      </c>
      <c r="C370" s="13">
        <f t="shared" si="44"/>
        <v>637.58922132252053</v>
      </c>
      <c r="D370" s="13">
        <f t="shared" si="40"/>
        <v>646.01237946894048</v>
      </c>
      <c r="E370" s="13">
        <f t="shared" si="47"/>
        <v>147432.84101798895</v>
      </c>
      <c r="F370" s="13">
        <f t="shared" si="45"/>
        <v>2567.1589820111039</v>
      </c>
      <c r="H370" s="5">
        <f t="shared" si="46"/>
        <v>-646.01237946894048</v>
      </c>
      <c r="I370" s="1">
        <f t="shared" si="41"/>
        <v>-253.43095763682706</v>
      </c>
    </row>
    <row r="371" spans="1:9" x14ac:dyDescent="0.25">
      <c r="A371" s="12">
        <f t="shared" si="42"/>
        <v>356</v>
      </c>
      <c r="B371" s="13">
        <f t="shared" si="43"/>
        <v>6.747358831495391</v>
      </c>
      <c r="C371" s="13">
        <f t="shared" si="44"/>
        <v>639.2650206374451</v>
      </c>
      <c r="D371" s="13">
        <f t="shared" si="40"/>
        <v>646.01237946894048</v>
      </c>
      <c r="E371" s="13">
        <f t="shared" si="47"/>
        <v>148072.1060386264</v>
      </c>
      <c r="F371" s="13">
        <f t="shared" si="45"/>
        <v>1927.8939613736588</v>
      </c>
      <c r="H371" s="5">
        <f t="shared" si="46"/>
        <v>-646.01237946894048</v>
      </c>
      <c r="I371" s="1">
        <f t="shared" si="41"/>
        <v>-252.76383090889814</v>
      </c>
    </row>
    <row r="372" spans="1:9" x14ac:dyDescent="0.25">
      <c r="A372" s="12">
        <f t="shared" si="42"/>
        <v>357</v>
      </c>
      <c r="B372" s="13">
        <f t="shared" si="43"/>
        <v>5.0671549512958549</v>
      </c>
      <c r="C372" s="13">
        <f t="shared" si="44"/>
        <v>640.94522451764465</v>
      </c>
      <c r="D372" s="13">
        <f t="shared" si="40"/>
        <v>646.01237946894048</v>
      </c>
      <c r="E372" s="13">
        <f t="shared" si="47"/>
        <v>148713.05126314404</v>
      </c>
      <c r="F372" s="13">
        <f t="shared" si="45"/>
        <v>1286.9487368560142</v>
      </c>
      <c r="H372" s="5">
        <f t="shared" si="46"/>
        <v>-646.01237946894048</v>
      </c>
      <c r="I372" s="1">
        <f t="shared" si="41"/>
        <v>-252.09846031240349</v>
      </c>
    </row>
    <row r="373" spans="1:9" x14ac:dyDescent="0.25">
      <c r="A373" s="12">
        <f t="shared" si="42"/>
        <v>358</v>
      </c>
      <c r="B373" s="13">
        <f t="shared" si="43"/>
        <v>3.3825349291396969</v>
      </c>
      <c r="C373" s="13">
        <f t="shared" si="44"/>
        <v>642.62984453980073</v>
      </c>
      <c r="D373" s="13">
        <f t="shared" si="40"/>
        <v>646.01237946894048</v>
      </c>
      <c r="E373" s="13">
        <f t="shared" si="47"/>
        <v>149355.68110768383</v>
      </c>
      <c r="F373" s="13">
        <f t="shared" si="45"/>
        <v>644.31889231621346</v>
      </c>
      <c r="H373" s="5">
        <f t="shared" si="46"/>
        <v>-646.01237946894048</v>
      </c>
      <c r="I373" s="1">
        <f t="shared" si="41"/>
        <v>-251.43484122453683</v>
      </c>
    </row>
    <row r="374" spans="1:9" x14ac:dyDescent="0.25">
      <c r="A374" s="12">
        <f t="shared" si="42"/>
        <v>359</v>
      </c>
      <c r="B374" s="13">
        <f t="shared" si="43"/>
        <v>1.6934871579177975</v>
      </c>
      <c r="C374" s="13">
        <f t="shared" si="44"/>
        <v>644.31889231102264</v>
      </c>
      <c r="D374" s="13">
        <f t="shared" si="40"/>
        <v>646.01237946894048</v>
      </c>
      <c r="E374" s="13">
        <f t="shared" si="47"/>
        <v>149999.99999999485</v>
      </c>
      <c r="F374" s="13">
        <f t="shared" si="45"/>
        <v>5.1908273235312663E-9</v>
      </c>
      <c r="H374" s="5">
        <f t="shared" si="46"/>
        <v>-646.01237946894048</v>
      </c>
      <c r="I374" s="1">
        <f t="shared" si="41"/>
        <v>-250.77296903466078</v>
      </c>
    </row>
    <row r="375" spans="1:9" x14ac:dyDescent="0.25">
      <c r="A375" s="12" t="str">
        <f t="shared" si="42"/>
        <v/>
      </c>
      <c r="B375" s="13" t="str">
        <f t="shared" si="43"/>
        <v/>
      </c>
      <c r="C375" s="13" t="str">
        <f t="shared" si="44"/>
        <v/>
      </c>
      <c r="D375" s="13" t="str">
        <f t="shared" si="40"/>
        <v/>
      </c>
      <c r="E375" s="13" t="str">
        <f t="shared" si="47"/>
        <v/>
      </c>
      <c r="F375" s="13" t="str">
        <f t="shared" si="45"/>
        <v/>
      </c>
      <c r="H375" s="5" t="str">
        <f t="shared" si="46"/>
        <v/>
      </c>
      <c r="I375" s="1" t="str">
        <f t="shared" si="41"/>
        <v/>
      </c>
    </row>
    <row r="376" spans="1:9" x14ac:dyDescent="0.25">
      <c r="A376" s="12" t="str">
        <f t="shared" si="42"/>
        <v/>
      </c>
      <c r="B376" s="13" t="str">
        <f t="shared" si="43"/>
        <v/>
      </c>
      <c r="C376" s="13" t="str">
        <f t="shared" si="44"/>
        <v/>
      </c>
      <c r="D376" s="13" t="str">
        <f t="shared" si="40"/>
        <v/>
      </c>
      <c r="E376" s="13" t="str">
        <f t="shared" si="47"/>
        <v/>
      </c>
      <c r="F376" s="13" t="str">
        <f t="shared" si="45"/>
        <v/>
      </c>
      <c r="H376" s="5" t="str">
        <f t="shared" si="46"/>
        <v/>
      </c>
      <c r="I376" s="1" t="str">
        <f t="shared" si="41"/>
        <v/>
      </c>
    </row>
    <row r="377" spans="1:9" x14ac:dyDescent="0.25">
      <c r="A377" s="12" t="str">
        <f t="shared" si="42"/>
        <v/>
      </c>
      <c r="B377" s="13" t="str">
        <f t="shared" si="43"/>
        <v/>
      </c>
      <c r="C377" s="13" t="str">
        <f t="shared" si="44"/>
        <v/>
      </c>
      <c r="D377" s="13" t="str">
        <f t="shared" si="40"/>
        <v/>
      </c>
      <c r="E377" s="13" t="str">
        <f t="shared" si="47"/>
        <v/>
      </c>
      <c r="F377" s="13" t="str">
        <f t="shared" si="45"/>
        <v/>
      </c>
      <c r="H377" s="5" t="str">
        <f t="shared" si="46"/>
        <v/>
      </c>
      <c r="I377" s="1" t="str">
        <f t="shared" si="41"/>
        <v/>
      </c>
    </row>
    <row r="378" spans="1:9" x14ac:dyDescent="0.25">
      <c r="A378" s="12" t="str">
        <f t="shared" si="42"/>
        <v/>
      </c>
      <c r="B378" s="13" t="str">
        <f t="shared" si="43"/>
        <v/>
      </c>
      <c r="C378" s="13" t="str">
        <f t="shared" si="44"/>
        <v/>
      </c>
      <c r="D378" s="13" t="str">
        <f t="shared" si="40"/>
        <v/>
      </c>
      <c r="E378" s="13" t="str">
        <f t="shared" si="47"/>
        <v/>
      </c>
      <c r="F378" s="13" t="str">
        <f t="shared" si="45"/>
        <v/>
      </c>
      <c r="H378" s="5" t="str">
        <f t="shared" si="46"/>
        <v/>
      </c>
      <c r="I378" s="1" t="str">
        <f t="shared" si="41"/>
        <v/>
      </c>
    </row>
    <row r="379" spans="1:9" x14ac:dyDescent="0.25">
      <c r="A379" s="12" t="str">
        <f t="shared" si="42"/>
        <v/>
      </c>
      <c r="B379" s="13" t="str">
        <f t="shared" si="43"/>
        <v/>
      </c>
      <c r="C379" s="13" t="str">
        <f t="shared" si="44"/>
        <v/>
      </c>
      <c r="D379" s="13" t="str">
        <f t="shared" si="40"/>
        <v/>
      </c>
      <c r="E379" s="13" t="str">
        <f t="shared" si="47"/>
        <v/>
      </c>
      <c r="F379" s="13" t="str">
        <f t="shared" si="45"/>
        <v/>
      </c>
      <c r="H379" s="5" t="str">
        <f t="shared" si="46"/>
        <v/>
      </c>
      <c r="I379" s="1" t="str">
        <f t="shared" si="41"/>
        <v/>
      </c>
    </row>
    <row r="380" spans="1:9" x14ac:dyDescent="0.25">
      <c r="A380" s="12" t="str">
        <f t="shared" si="42"/>
        <v/>
      </c>
      <c r="B380" s="13" t="str">
        <f t="shared" si="43"/>
        <v/>
      </c>
      <c r="C380" s="13" t="str">
        <f t="shared" si="44"/>
        <v/>
      </c>
      <c r="D380" s="13" t="str">
        <f t="shared" si="40"/>
        <v/>
      </c>
      <c r="E380" s="13" t="str">
        <f t="shared" si="47"/>
        <v/>
      </c>
      <c r="F380" s="13" t="str">
        <f t="shared" si="45"/>
        <v/>
      </c>
      <c r="H380" s="5" t="str">
        <f t="shared" si="46"/>
        <v/>
      </c>
      <c r="I380" s="1" t="str">
        <f t="shared" si="41"/>
        <v/>
      </c>
    </row>
    <row r="381" spans="1:9" x14ac:dyDescent="0.25">
      <c r="A381" s="12" t="str">
        <f t="shared" si="42"/>
        <v/>
      </c>
      <c r="B381" s="13" t="str">
        <f t="shared" si="43"/>
        <v/>
      </c>
      <c r="C381" s="13" t="str">
        <f t="shared" si="44"/>
        <v/>
      </c>
      <c r="D381" s="13" t="str">
        <f t="shared" si="40"/>
        <v/>
      </c>
      <c r="E381" s="13" t="str">
        <f t="shared" si="47"/>
        <v/>
      </c>
      <c r="F381" s="13" t="str">
        <f t="shared" si="45"/>
        <v/>
      </c>
      <c r="H381" s="5" t="str">
        <f t="shared" si="46"/>
        <v/>
      </c>
      <c r="I381" s="1" t="str">
        <f t="shared" si="41"/>
        <v/>
      </c>
    </row>
    <row r="382" spans="1:9" x14ac:dyDescent="0.25">
      <c r="A382" s="12" t="str">
        <f t="shared" si="42"/>
        <v/>
      </c>
      <c r="B382" s="13" t="str">
        <f t="shared" si="43"/>
        <v/>
      </c>
      <c r="C382" s="13" t="str">
        <f t="shared" si="44"/>
        <v/>
      </c>
      <c r="D382" s="13" t="str">
        <f t="shared" si="40"/>
        <v/>
      </c>
      <c r="E382" s="13" t="str">
        <f t="shared" si="47"/>
        <v/>
      </c>
      <c r="F382" s="13" t="str">
        <f t="shared" si="45"/>
        <v/>
      </c>
      <c r="H382" s="5" t="str">
        <f t="shared" si="46"/>
        <v/>
      </c>
      <c r="I382" s="1" t="str">
        <f t="shared" si="41"/>
        <v/>
      </c>
    </row>
    <row r="383" spans="1:9" x14ac:dyDescent="0.25">
      <c r="A383" s="12" t="str">
        <f t="shared" si="42"/>
        <v/>
      </c>
      <c r="B383" s="13" t="str">
        <f t="shared" si="43"/>
        <v/>
      </c>
      <c r="C383" s="13" t="str">
        <f t="shared" si="44"/>
        <v/>
      </c>
      <c r="D383" s="13" t="str">
        <f t="shared" si="40"/>
        <v/>
      </c>
      <c r="E383" s="13" t="str">
        <f t="shared" si="47"/>
        <v/>
      </c>
      <c r="F383" s="13" t="str">
        <f t="shared" si="45"/>
        <v/>
      </c>
      <c r="H383" s="5" t="str">
        <f t="shared" si="46"/>
        <v/>
      </c>
      <c r="I383" s="1" t="str">
        <f t="shared" si="41"/>
        <v/>
      </c>
    </row>
    <row r="384" spans="1:9" x14ac:dyDescent="0.25">
      <c r="A384" s="12" t="str">
        <f t="shared" si="42"/>
        <v/>
      </c>
      <c r="B384" s="13" t="str">
        <f t="shared" si="43"/>
        <v/>
      </c>
      <c r="C384" s="13" t="str">
        <f t="shared" si="44"/>
        <v/>
      </c>
      <c r="D384" s="13" t="str">
        <f t="shared" si="40"/>
        <v/>
      </c>
      <c r="E384" s="13" t="str">
        <f t="shared" si="47"/>
        <v/>
      </c>
      <c r="F384" s="13" t="str">
        <f t="shared" si="45"/>
        <v/>
      </c>
      <c r="H384" s="5" t="str">
        <f t="shared" si="46"/>
        <v/>
      </c>
      <c r="I384" s="1" t="str">
        <f t="shared" si="41"/>
        <v/>
      </c>
    </row>
    <row r="385" spans="1:9" x14ac:dyDescent="0.25">
      <c r="A385" s="12" t="str">
        <f t="shared" si="42"/>
        <v/>
      </c>
      <c r="B385" s="13" t="str">
        <f t="shared" si="43"/>
        <v/>
      </c>
      <c r="C385" s="13" t="str">
        <f t="shared" si="44"/>
        <v/>
      </c>
      <c r="D385" s="13" t="str">
        <f t="shared" si="40"/>
        <v/>
      </c>
      <c r="E385" s="13" t="str">
        <f t="shared" si="47"/>
        <v/>
      </c>
      <c r="F385" s="13" t="str">
        <f t="shared" si="45"/>
        <v/>
      </c>
      <c r="H385" s="5" t="str">
        <f t="shared" si="46"/>
        <v/>
      </c>
      <c r="I385" s="1" t="str">
        <f t="shared" si="41"/>
        <v/>
      </c>
    </row>
    <row r="386" spans="1:9" x14ac:dyDescent="0.25">
      <c r="A386" s="12" t="str">
        <f t="shared" si="42"/>
        <v/>
      </c>
      <c r="B386" s="13" t="str">
        <f t="shared" si="43"/>
        <v/>
      </c>
      <c r="C386" s="13" t="str">
        <f t="shared" si="44"/>
        <v/>
      </c>
      <c r="D386" s="13" t="str">
        <f t="shared" si="40"/>
        <v/>
      </c>
      <c r="E386" s="13" t="str">
        <f t="shared" si="47"/>
        <v/>
      </c>
      <c r="F386" s="13" t="str">
        <f t="shared" si="45"/>
        <v/>
      </c>
      <c r="H386" s="5" t="str">
        <f t="shared" si="46"/>
        <v/>
      </c>
      <c r="I386" s="1" t="str">
        <f t="shared" si="41"/>
        <v/>
      </c>
    </row>
    <row r="387" spans="1:9" x14ac:dyDescent="0.25">
      <c r="A387" s="12" t="str">
        <f t="shared" si="42"/>
        <v/>
      </c>
      <c r="B387" s="13" t="str">
        <f t="shared" si="43"/>
        <v/>
      </c>
      <c r="C387" s="13" t="str">
        <f t="shared" si="44"/>
        <v/>
      </c>
      <c r="D387" s="13" t="str">
        <f t="shared" si="40"/>
        <v/>
      </c>
      <c r="E387" s="13" t="str">
        <f t="shared" si="47"/>
        <v/>
      </c>
      <c r="F387" s="13" t="str">
        <f t="shared" si="45"/>
        <v/>
      </c>
      <c r="H387" s="5" t="str">
        <f t="shared" si="46"/>
        <v/>
      </c>
      <c r="I387" s="1" t="str">
        <f t="shared" si="41"/>
        <v/>
      </c>
    </row>
    <row r="388" spans="1:9" x14ac:dyDescent="0.25">
      <c r="A388" s="12" t="str">
        <f t="shared" si="42"/>
        <v/>
      </c>
      <c r="B388" s="13" t="str">
        <f t="shared" si="43"/>
        <v/>
      </c>
      <c r="C388" s="13" t="str">
        <f t="shared" si="44"/>
        <v/>
      </c>
      <c r="D388" s="13" t="str">
        <f t="shared" si="40"/>
        <v/>
      </c>
      <c r="E388" s="13" t="str">
        <f t="shared" si="47"/>
        <v/>
      </c>
      <c r="F388" s="13" t="str">
        <f t="shared" si="45"/>
        <v/>
      </c>
      <c r="H388" s="5" t="str">
        <f t="shared" si="46"/>
        <v/>
      </c>
      <c r="I388" s="1" t="str">
        <f t="shared" si="41"/>
        <v/>
      </c>
    </row>
    <row r="389" spans="1:9" x14ac:dyDescent="0.25">
      <c r="A389" s="12" t="str">
        <f t="shared" si="42"/>
        <v/>
      </c>
      <c r="B389" s="13" t="str">
        <f t="shared" si="43"/>
        <v/>
      </c>
      <c r="C389" s="13" t="str">
        <f t="shared" si="44"/>
        <v/>
      </c>
      <c r="D389" s="13" t="str">
        <f t="shared" si="40"/>
        <v/>
      </c>
      <c r="E389" s="13" t="str">
        <f t="shared" si="47"/>
        <v/>
      </c>
      <c r="F389" s="13" t="str">
        <f t="shared" si="45"/>
        <v/>
      </c>
      <c r="H389" s="5" t="str">
        <f t="shared" si="46"/>
        <v/>
      </c>
      <c r="I389" s="1" t="str">
        <f t="shared" si="41"/>
        <v/>
      </c>
    </row>
    <row r="390" spans="1:9" x14ac:dyDescent="0.25">
      <c r="A390" s="12" t="str">
        <f t="shared" si="42"/>
        <v/>
      </c>
      <c r="B390" s="13" t="str">
        <f t="shared" si="43"/>
        <v/>
      </c>
      <c r="C390" s="13" t="str">
        <f t="shared" si="44"/>
        <v/>
      </c>
      <c r="D390" s="13" t="str">
        <f t="shared" si="40"/>
        <v/>
      </c>
      <c r="E390" s="13" t="str">
        <f t="shared" si="47"/>
        <v/>
      </c>
      <c r="F390" s="13" t="str">
        <f t="shared" si="45"/>
        <v/>
      </c>
      <c r="H390" s="5" t="str">
        <f t="shared" si="46"/>
        <v/>
      </c>
      <c r="I390" s="1" t="str">
        <f t="shared" si="41"/>
        <v/>
      </c>
    </row>
    <row r="391" spans="1:9" x14ac:dyDescent="0.25">
      <c r="A391" s="12" t="str">
        <f t="shared" si="42"/>
        <v/>
      </c>
      <c r="B391" s="13" t="str">
        <f t="shared" si="43"/>
        <v/>
      </c>
      <c r="C391" s="13" t="str">
        <f t="shared" si="44"/>
        <v/>
      </c>
      <c r="D391" s="13" t="str">
        <f t="shared" si="40"/>
        <v/>
      </c>
      <c r="E391" s="13" t="str">
        <f t="shared" si="47"/>
        <v/>
      </c>
      <c r="F391" s="13" t="str">
        <f t="shared" si="45"/>
        <v/>
      </c>
      <c r="H391" s="5" t="str">
        <f t="shared" si="46"/>
        <v/>
      </c>
      <c r="I391" s="1" t="str">
        <f t="shared" si="41"/>
        <v/>
      </c>
    </row>
    <row r="392" spans="1:9" x14ac:dyDescent="0.25">
      <c r="A392" s="12" t="str">
        <f t="shared" si="42"/>
        <v/>
      </c>
      <c r="B392" s="13" t="str">
        <f t="shared" si="43"/>
        <v/>
      </c>
      <c r="C392" s="13" t="str">
        <f t="shared" si="44"/>
        <v/>
      </c>
      <c r="D392" s="13" t="str">
        <f t="shared" si="40"/>
        <v/>
      </c>
      <c r="E392" s="13" t="str">
        <f t="shared" si="47"/>
        <v/>
      </c>
      <c r="F392" s="13" t="str">
        <f t="shared" si="45"/>
        <v/>
      </c>
      <c r="H392" s="5" t="str">
        <f t="shared" si="46"/>
        <v/>
      </c>
      <c r="I392" s="1" t="str">
        <f t="shared" si="41"/>
        <v/>
      </c>
    </row>
    <row r="393" spans="1:9" x14ac:dyDescent="0.25">
      <c r="A393" s="12" t="str">
        <f t="shared" si="42"/>
        <v/>
      </c>
      <c r="B393" s="13" t="str">
        <f t="shared" si="43"/>
        <v/>
      </c>
      <c r="C393" s="13" t="str">
        <f t="shared" si="44"/>
        <v/>
      </c>
      <c r="D393" s="13" t="str">
        <f t="shared" si="40"/>
        <v/>
      </c>
      <c r="E393" s="13" t="str">
        <f t="shared" si="47"/>
        <v/>
      </c>
      <c r="F393" s="13" t="str">
        <f t="shared" si="45"/>
        <v/>
      </c>
      <c r="H393" s="5" t="str">
        <f t="shared" si="46"/>
        <v/>
      </c>
      <c r="I393" s="1" t="str">
        <f t="shared" si="41"/>
        <v/>
      </c>
    </row>
    <row r="394" spans="1:9" x14ac:dyDescent="0.25">
      <c r="A394" s="12" t="str">
        <f t="shared" si="42"/>
        <v/>
      </c>
      <c r="B394" s="13" t="str">
        <f t="shared" si="43"/>
        <v/>
      </c>
      <c r="C394" s="13" t="str">
        <f t="shared" si="44"/>
        <v/>
      </c>
      <c r="D394" s="13" t="str">
        <f t="shared" si="40"/>
        <v/>
      </c>
      <c r="E394" s="13" t="str">
        <f t="shared" si="47"/>
        <v/>
      </c>
      <c r="F394" s="13" t="str">
        <f t="shared" si="45"/>
        <v/>
      </c>
      <c r="H394" s="5" t="str">
        <f t="shared" si="46"/>
        <v/>
      </c>
      <c r="I394" s="1" t="str">
        <f t="shared" si="41"/>
        <v/>
      </c>
    </row>
    <row r="395" spans="1:9" x14ac:dyDescent="0.25">
      <c r="A395" s="12" t="str">
        <f t="shared" si="42"/>
        <v/>
      </c>
      <c r="B395" s="13" t="str">
        <f t="shared" si="43"/>
        <v/>
      </c>
      <c r="C395" s="13" t="str">
        <f t="shared" si="44"/>
        <v/>
      </c>
      <c r="D395" s="13" t="str">
        <f t="shared" si="40"/>
        <v/>
      </c>
      <c r="E395" s="13" t="str">
        <f t="shared" si="47"/>
        <v/>
      </c>
      <c r="F395" s="13" t="str">
        <f t="shared" si="45"/>
        <v/>
      </c>
      <c r="H395" s="5" t="str">
        <f t="shared" si="46"/>
        <v/>
      </c>
      <c r="I395" s="1" t="str">
        <f t="shared" si="41"/>
        <v/>
      </c>
    </row>
    <row r="396" spans="1:9" x14ac:dyDescent="0.25">
      <c r="A396" s="12" t="str">
        <f t="shared" si="42"/>
        <v/>
      </c>
      <c r="B396" s="13" t="str">
        <f t="shared" si="43"/>
        <v/>
      </c>
      <c r="C396" s="13" t="str">
        <f t="shared" si="44"/>
        <v/>
      </c>
      <c r="D396" s="13" t="str">
        <f t="shared" si="40"/>
        <v/>
      </c>
      <c r="E396" s="13" t="str">
        <f t="shared" si="47"/>
        <v/>
      </c>
      <c r="F396" s="13" t="str">
        <f t="shared" si="45"/>
        <v/>
      </c>
      <c r="H396" s="5" t="str">
        <f t="shared" si="46"/>
        <v/>
      </c>
      <c r="I396" s="1" t="str">
        <f t="shared" si="41"/>
        <v/>
      </c>
    </row>
    <row r="397" spans="1:9" x14ac:dyDescent="0.25">
      <c r="A397" s="12" t="str">
        <f t="shared" si="42"/>
        <v/>
      </c>
      <c r="B397" s="13" t="str">
        <f t="shared" si="43"/>
        <v/>
      </c>
      <c r="C397" s="13" t="str">
        <f t="shared" si="44"/>
        <v/>
      </c>
      <c r="D397" s="13" t="str">
        <f t="shared" si="40"/>
        <v/>
      </c>
      <c r="E397" s="13" t="str">
        <f t="shared" si="47"/>
        <v/>
      </c>
      <c r="F397" s="13" t="str">
        <f t="shared" si="45"/>
        <v/>
      </c>
      <c r="H397" s="5" t="str">
        <f t="shared" si="46"/>
        <v/>
      </c>
      <c r="I397" s="1" t="str">
        <f t="shared" si="41"/>
        <v/>
      </c>
    </row>
    <row r="398" spans="1:9" x14ac:dyDescent="0.25">
      <c r="A398" s="12" t="str">
        <f t="shared" si="42"/>
        <v/>
      </c>
      <c r="B398" s="13" t="str">
        <f t="shared" si="43"/>
        <v/>
      </c>
      <c r="C398" s="13" t="str">
        <f t="shared" si="44"/>
        <v/>
      </c>
      <c r="D398" s="13" t="str">
        <f t="shared" si="40"/>
        <v/>
      </c>
      <c r="E398" s="13" t="str">
        <f t="shared" si="47"/>
        <v/>
      </c>
      <c r="F398" s="13" t="str">
        <f t="shared" si="45"/>
        <v/>
      </c>
      <c r="H398" s="5" t="str">
        <f t="shared" si="46"/>
        <v/>
      </c>
      <c r="I398" s="1" t="str">
        <f t="shared" si="41"/>
        <v/>
      </c>
    </row>
    <row r="399" spans="1:9" x14ac:dyDescent="0.25">
      <c r="A399" s="12" t="str">
        <f t="shared" si="42"/>
        <v/>
      </c>
      <c r="B399" s="13" t="str">
        <f t="shared" si="43"/>
        <v/>
      </c>
      <c r="C399" s="13" t="str">
        <f t="shared" si="44"/>
        <v/>
      </c>
      <c r="D399" s="13" t="str">
        <f t="shared" si="40"/>
        <v/>
      </c>
      <c r="E399" s="13" t="str">
        <f t="shared" si="47"/>
        <v/>
      </c>
      <c r="F399" s="13" t="str">
        <f t="shared" si="45"/>
        <v/>
      </c>
      <c r="H399" s="5" t="str">
        <f t="shared" si="46"/>
        <v/>
      </c>
      <c r="I399" s="1" t="str">
        <f t="shared" si="41"/>
        <v/>
      </c>
    </row>
    <row r="400" spans="1:9" x14ac:dyDescent="0.25">
      <c r="A400" s="12" t="str">
        <f t="shared" si="42"/>
        <v/>
      </c>
      <c r="B400" s="13" t="str">
        <f t="shared" si="43"/>
        <v/>
      </c>
      <c r="C400" s="13" t="str">
        <f t="shared" si="44"/>
        <v/>
      </c>
      <c r="D400" s="13" t="str">
        <f t="shared" ref="D400:D463" si="48">IF(A400&lt;&gt;"",$B$11,"")</f>
        <v/>
      </c>
      <c r="E400" s="13" t="str">
        <f t="shared" si="47"/>
        <v/>
      </c>
      <c r="F400" s="13" t="str">
        <f t="shared" si="45"/>
        <v/>
      </c>
      <c r="H400" s="5" t="str">
        <f t="shared" si="46"/>
        <v/>
      </c>
      <c r="I400" s="1" t="str">
        <f t="shared" ref="I400:I463" si="49">IF(A400&lt;&gt;"",H400*(1+$H$5)^(-A400),"")</f>
        <v/>
      </c>
    </row>
    <row r="401" spans="1:9" x14ac:dyDescent="0.25">
      <c r="A401" s="12" t="str">
        <f t="shared" ref="A401:A464" si="50">IFERROR(IF(A400=$B$10,"",A400+1),"")</f>
        <v/>
      </c>
      <c r="B401" s="13" t="str">
        <f t="shared" ref="B401:B464" si="51">IF(A401&lt;&gt;"",F400*$C$9,"")</f>
        <v/>
      </c>
      <c r="C401" s="13" t="str">
        <f t="shared" ref="C401:C464" si="52">IF(A401&lt;&gt;"",D401-B401,"")</f>
        <v/>
      </c>
      <c r="D401" s="13" t="str">
        <f t="shared" si="48"/>
        <v/>
      </c>
      <c r="E401" s="13" t="str">
        <f t="shared" si="47"/>
        <v/>
      </c>
      <c r="F401" s="13" t="str">
        <f t="shared" ref="F401:F464" si="53">IF(A401&lt;&gt;"",F400-C401,"")</f>
        <v/>
      </c>
      <c r="H401" s="5" t="str">
        <f t="shared" ref="H401:H464" si="54">IF(A401&lt;&gt;"",-D401,"")</f>
        <v/>
      </c>
      <c r="I401" s="1" t="str">
        <f t="shared" si="49"/>
        <v/>
      </c>
    </row>
    <row r="402" spans="1:9" x14ac:dyDescent="0.25">
      <c r="A402" s="12" t="str">
        <f t="shared" si="50"/>
        <v/>
      </c>
      <c r="B402" s="13" t="str">
        <f t="shared" si="51"/>
        <v/>
      </c>
      <c r="C402" s="13" t="str">
        <f t="shared" si="52"/>
        <v/>
      </c>
      <c r="D402" s="13" t="str">
        <f t="shared" si="48"/>
        <v/>
      </c>
      <c r="E402" s="13" t="str">
        <f t="shared" ref="E402:E465" si="55">IF(A402&lt;&gt;"",E401+C402,"")</f>
        <v/>
      </c>
      <c r="F402" s="13" t="str">
        <f t="shared" si="53"/>
        <v/>
      </c>
      <c r="H402" s="5" t="str">
        <f t="shared" si="54"/>
        <v/>
      </c>
      <c r="I402" s="1" t="str">
        <f t="shared" si="49"/>
        <v/>
      </c>
    </row>
    <row r="403" spans="1:9" x14ac:dyDescent="0.25">
      <c r="A403" s="12" t="str">
        <f t="shared" si="50"/>
        <v/>
      </c>
      <c r="B403" s="13" t="str">
        <f t="shared" si="51"/>
        <v/>
      </c>
      <c r="C403" s="13" t="str">
        <f t="shared" si="52"/>
        <v/>
      </c>
      <c r="D403" s="13" t="str">
        <f t="shared" si="48"/>
        <v/>
      </c>
      <c r="E403" s="13" t="str">
        <f t="shared" si="55"/>
        <v/>
      </c>
      <c r="F403" s="13" t="str">
        <f t="shared" si="53"/>
        <v/>
      </c>
      <c r="H403" s="5" t="str">
        <f t="shared" si="54"/>
        <v/>
      </c>
      <c r="I403" s="1" t="str">
        <f t="shared" si="49"/>
        <v/>
      </c>
    </row>
    <row r="404" spans="1:9" x14ac:dyDescent="0.25">
      <c r="A404" s="12" t="str">
        <f t="shared" si="50"/>
        <v/>
      </c>
      <c r="B404" s="13" t="str">
        <f t="shared" si="51"/>
        <v/>
      </c>
      <c r="C404" s="13" t="str">
        <f t="shared" si="52"/>
        <v/>
      </c>
      <c r="D404" s="13" t="str">
        <f t="shared" si="48"/>
        <v/>
      </c>
      <c r="E404" s="13" t="str">
        <f t="shared" si="55"/>
        <v/>
      </c>
      <c r="F404" s="13" t="str">
        <f t="shared" si="53"/>
        <v/>
      </c>
      <c r="H404" s="5" t="str">
        <f t="shared" si="54"/>
        <v/>
      </c>
      <c r="I404" s="1" t="str">
        <f t="shared" si="49"/>
        <v/>
      </c>
    </row>
    <row r="405" spans="1:9" x14ac:dyDescent="0.25">
      <c r="A405" s="12" t="str">
        <f t="shared" si="50"/>
        <v/>
      </c>
      <c r="B405" s="13" t="str">
        <f t="shared" si="51"/>
        <v/>
      </c>
      <c r="C405" s="13" t="str">
        <f t="shared" si="52"/>
        <v/>
      </c>
      <c r="D405" s="13" t="str">
        <f t="shared" si="48"/>
        <v/>
      </c>
      <c r="E405" s="13" t="str">
        <f t="shared" si="55"/>
        <v/>
      </c>
      <c r="F405" s="13" t="str">
        <f t="shared" si="53"/>
        <v/>
      </c>
      <c r="H405" s="5" t="str">
        <f t="shared" si="54"/>
        <v/>
      </c>
      <c r="I405" s="1" t="str">
        <f t="shared" si="49"/>
        <v/>
      </c>
    </row>
    <row r="406" spans="1:9" x14ac:dyDescent="0.25">
      <c r="A406" s="12" t="str">
        <f t="shared" si="50"/>
        <v/>
      </c>
      <c r="B406" s="13" t="str">
        <f t="shared" si="51"/>
        <v/>
      </c>
      <c r="C406" s="13" t="str">
        <f t="shared" si="52"/>
        <v/>
      </c>
      <c r="D406" s="13" t="str">
        <f t="shared" si="48"/>
        <v/>
      </c>
      <c r="E406" s="13" t="str">
        <f t="shared" si="55"/>
        <v/>
      </c>
      <c r="F406" s="13" t="str">
        <f t="shared" si="53"/>
        <v/>
      </c>
      <c r="H406" s="5" t="str">
        <f t="shared" si="54"/>
        <v/>
      </c>
      <c r="I406" s="1" t="str">
        <f t="shared" si="49"/>
        <v/>
      </c>
    </row>
    <row r="407" spans="1:9" x14ac:dyDescent="0.25">
      <c r="A407" s="12" t="str">
        <f t="shared" si="50"/>
        <v/>
      </c>
      <c r="B407" s="13" t="str">
        <f t="shared" si="51"/>
        <v/>
      </c>
      <c r="C407" s="13" t="str">
        <f t="shared" si="52"/>
        <v/>
      </c>
      <c r="D407" s="13" t="str">
        <f t="shared" si="48"/>
        <v/>
      </c>
      <c r="E407" s="13" t="str">
        <f t="shared" si="55"/>
        <v/>
      </c>
      <c r="F407" s="13" t="str">
        <f t="shared" si="53"/>
        <v/>
      </c>
      <c r="H407" s="5" t="str">
        <f t="shared" si="54"/>
        <v/>
      </c>
      <c r="I407" s="1" t="str">
        <f t="shared" si="49"/>
        <v/>
      </c>
    </row>
    <row r="408" spans="1:9" x14ac:dyDescent="0.25">
      <c r="A408" s="12" t="str">
        <f t="shared" si="50"/>
        <v/>
      </c>
      <c r="B408" s="13" t="str">
        <f t="shared" si="51"/>
        <v/>
      </c>
      <c r="C408" s="13" t="str">
        <f t="shared" si="52"/>
        <v/>
      </c>
      <c r="D408" s="13" t="str">
        <f t="shared" si="48"/>
        <v/>
      </c>
      <c r="E408" s="13" t="str">
        <f t="shared" si="55"/>
        <v/>
      </c>
      <c r="F408" s="13" t="str">
        <f t="shared" si="53"/>
        <v/>
      </c>
      <c r="H408" s="5" t="str">
        <f t="shared" si="54"/>
        <v/>
      </c>
      <c r="I408" s="1" t="str">
        <f t="shared" si="49"/>
        <v/>
      </c>
    </row>
    <row r="409" spans="1:9" x14ac:dyDescent="0.25">
      <c r="A409" s="12" t="str">
        <f t="shared" si="50"/>
        <v/>
      </c>
      <c r="B409" s="13" t="str">
        <f t="shared" si="51"/>
        <v/>
      </c>
      <c r="C409" s="13" t="str">
        <f t="shared" si="52"/>
        <v/>
      </c>
      <c r="D409" s="13" t="str">
        <f t="shared" si="48"/>
        <v/>
      </c>
      <c r="E409" s="13" t="str">
        <f t="shared" si="55"/>
        <v/>
      </c>
      <c r="F409" s="13" t="str">
        <f t="shared" si="53"/>
        <v/>
      </c>
      <c r="H409" s="5" t="str">
        <f t="shared" si="54"/>
        <v/>
      </c>
      <c r="I409" s="1" t="str">
        <f t="shared" si="49"/>
        <v/>
      </c>
    </row>
    <row r="410" spans="1:9" x14ac:dyDescent="0.25">
      <c r="A410" s="12" t="str">
        <f t="shared" si="50"/>
        <v/>
      </c>
      <c r="B410" s="13" t="str">
        <f t="shared" si="51"/>
        <v/>
      </c>
      <c r="C410" s="13" t="str">
        <f t="shared" si="52"/>
        <v/>
      </c>
      <c r="D410" s="13" t="str">
        <f t="shared" si="48"/>
        <v/>
      </c>
      <c r="E410" s="13" t="str">
        <f t="shared" si="55"/>
        <v/>
      </c>
      <c r="F410" s="13" t="str">
        <f t="shared" si="53"/>
        <v/>
      </c>
      <c r="H410" s="5" t="str">
        <f t="shared" si="54"/>
        <v/>
      </c>
      <c r="I410" s="1" t="str">
        <f t="shared" si="49"/>
        <v/>
      </c>
    </row>
    <row r="411" spans="1:9" x14ac:dyDescent="0.25">
      <c r="A411" s="12" t="str">
        <f t="shared" si="50"/>
        <v/>
      </c>
      <c r="B411" s="13" t="str">
        <f t="shared" si="51"/>
        <v/>
      </c>
      <c r="C411" s="13" t="str">
        <f t="shared" si="52"/>
        <v/>
      </c>
      <c r="D411" s="13" t="str">
        <f t="shared" si="48"/>
        <v/>
      </c>
      <c r="E411" s="13" t="str">
        <f t="shared" si="55"/>
        <v/>
      </c>
      <c r="F411" s="13" t="str">
        <f t="shared" si="53"/>
        <v/>
      </c>
      <c r="H411" s="5" t="str">
        <f t="shared" si="54"/>
        <v/>
      </c>
      <c r="I411" s="1" t="str">
        <f t="shared" si="49"/>
        <v/>
      </c>
    </row>
    <row r="412" spans="1:9" x14ac:dyDescent="0.25">
      <c r="A412" s="12" t="str">
        <f t="shared" si="50"/>
        <v/>
      </c>
      <c r="B412" s="13" t="str">
        <f t="shared" si="51"/>
        <v/>
      </c>
      <c r="C412" s="13" t="str">
        <f t="shared" si="52"/>
        <v/>
      </c>
      <c r="D412" s="13" t="str">
        <f t="shared" si="48"/>
        <v/>
      </c>
      <c r="E412" s="13" t="str">
        <f t="shared" si="55"/>
        <v/>
      </c>
      <c r="F412" s="13" t="str">
        <f t="shared" si="53"/>
        <v/>
      </c>
      <c r="H412" s="5" t="str">
        <f t="shared" si="54"/>
        <v/>
      </c>
      <c r="I412" s="1" t="str">
        <f t="shared" si="49"/>
        <v/>
      </c>
    </row>
    <row r="413" spans="1:9" x14ac:dyDescent="0.25">
      <c r="A413" s="12" t="str">
        <f t="shared" si="50"/>
        <v/>
      </c>
      <c r="B413" s="13" t="str">
        <f t="shared" si="51"/>
        <v/>
      </c>
      <c r="C413" s="13" t="str">
        <f t="shared" si="52"/>
        <v/>
      </c>
      <c r="D413" s="13" t="str">
        <f t="shared" si="48"/>
        <v/>
      </c>
      <c r="E413" s="13" t="str">
        <f t="shared" si="55"/>
        <v/>
      </c>
      <c r="F413" s="13" t="str">
        <f t="shared" si="53"/>
        <v/>
      </c>
      <c r="H413" s="5" t="str">
        <f t="shared" si="54"/>
        <v/>
      </c>
      <c r="I413" s="1" t="str">
        <f t="shared" si="49"/>
        <v/>
      </c>
    </row>
    <row r="414" spans="1:9" x14ac:dyDescent="0.25">
      <c r="A414" s="12" t="str">
        <f t="shared" si="50"/>
        <v/>
      </c>
      <c r="B414" s="13" t="str">
        <f t="shared" si="51"/>
        <v/>
      </c>
      <c r="C414" s="13" t="str">
        <f t="shared" si="52"/>
        <v/>
      </c>
      <c r="D414" s="13" t="str">
        <f t="shared" si="48"/>
        <v/>
      </c>
      <c r="E414" s="13" t="str">
        <f t="shared" si="55"/>
        <v/>
      </c>
      <c r="F414" s="13" t="str">
        <f t="shared" si="53"/>
        <v/>
      </c>
      <c r="H414" s="5" t="str">
        <f t="shared" si="54"/>
        <v/>
      </c>
      <c r="I414" s="1" t="str">
        <f t="shared" si="49"/>
        <v/>
      </c>
    </row>
    <row r="415" spans="1:9" x14ac:dyDescent="0.25">
      <c r="A415" s="12" t="str">
        <f t="shared" si="50"/>
        <v/>
      </c>
      <c r="B415" s="13" t="str">
        <f t="shared" si="51"/>
        <v/>
      </c>
      <c r="C415" s="13" t="str">
        <f t="shared" si="52"/>
        <v/>
      </c>
      <c r="D415" s="13" t="str">
        <f t="shared" si="48"/>
        <v/>
      </c>
      <c r="E415" s="13" t="str">
        <f t="shared" si="55"/>
        <v/>
      </c>
      <c r="F415" s="13" t="str">
        <f t="shared" si="53"/>
        <v/>
      </c>
      <c r="H415" s="5" t="str">
        <f t="shared" si="54"/>
        <v/>
      </c>
      <c r="I415" s="1" t="str">
        <f t="shared" si="49"/>
        <v/>
      </c>
    </row>
    <row r="416" spans="1:9" x14ac:dyDescent="0.25">
      <c r="A416" s="12" t="str">
        <f t="shared" si="50"/>
        <v/>
      </c>
      <c r="B416" s="13" t="str">
        <f t="shared" si="51"/>
        <v/>
      </c>
      <c r="C416" s="13" t="str">
        <f t="shared" si="52"/>
        <v/>
      </c>
      <c r="D416" s="13" t="str">
        <f t="shared" si="48"/>
        <v/>
      </c>
      <c r="E416" s="13" t="str">
        <f t="shared" si="55"/>
        <v/>
      </c>
      <c r="F416" s="13" t="str">
        <f t="shared" si="53"/>
        <v/>
      </c>
      <c r="H416" s="5" t="str">
        <f t="shared" si="54"/>
        <v/>
      </c>
      <c r="I416" s="1" t="str">
        <f t="shared" si="49"/>
        <v/>
      </c>
    </row>
    <row r="417" spans="1:9" x14ac:dyDescent="0.25">
      <c r="A417" s="12" t="str">
        <f t="shared" si="50"/>
        <v/>
      </c>
      <c r="B417" s="13" t="str">
        <f t="shared" si="51"/>
        <v/>
      </c>
      <c r="C417" s="13" t="str">
        <f t="shared" si="52"/>
        <v/>
      </c>
      <c r="D417" s="13" t="str">
        <f t="shared" si="48"/>
        <v/>
      </c>
      <c r="E417" s="13" t="str">
        <f t="shared" si="55"/>
        <v/>
      </c>
      <c r="F417" s="13" t="str">
        <f t="shared" si="53"/>
        <v/>
      </c>
      <c r="H417" s="5" t="str">
        <f t="shared" si="54"/>
        <v/>
      </c>
      <c r="I417" s="1" t="str">
        <f t="shared" si="49"/>
        <v/>
      </c>
    </row>
    <row r="418" spans="1:9" x14ac:dyDescent="0.25">
      <c r="A418" s="12" t="str">
        <f t="shared" si="50"/>
        <v/>
      </c>
      <c r="B418" s="13" t="str">
        <f t="shared" si="51"/>
        <v/>
      </c>
      <c r="C418" s="13" t="str">
        <f t="shared" si="52"/>
        <v/>
      </c>
      <c r="D418" s="13" t="str">
        <f t="shared" si="48"/>
        <v/>
      </c>
      <c r="E418" s="13" t="str">
        <f t="shared" si="55"/>
        <v/>
      </c>
      <c r="F418" s="13" t="str">
        <f t="shared" si="53"/>
        <v/>
      </c>
      <c r="H418" s="5" t="str">
        <f t="shared" si="54"/>
        <v/>
      </c>
      <c r="I418" s="1" t="str">
        <f t="shared" si="49"/>
        <v/>
      </c>
    </row>
    <row r="419" spans="1:9" x14ac:dyDescent="0.25">
      <c r="A419" s="12" t="str">
        <f t="shared" si="50"/>
        <v/>
      </c>
      <c r="B419" s="13" t="str">
        <f t="shared" si="51"/>
        <v/>
      </c>
      <c r="C419" s="13" t="str">
        <f t="shared" si="52"/>
        <v/>
      </c>
      <c r="D419" s="13" t="str">
        <f t="shared" si="48"/>
        <v/>
      </c>
      <c r="E419" s="13" t="str">
        <f t="shared" si="55"/>
        <v/>
      </c>
      <c r="F419" s="13" t="str">
        <f t="shared" si="53"/>
        <v/>
      </c>
      <c r="H419" s="5" t="str">
        <f t="shared" si="54"/>
        <v/>
      </c>
      <c r="I419" s="1" t="str">
        <f t="shared" si="49"/>
        <v/>
      </c>
    </row>
    <row r="420" spans="1:9" x14ac:dyDescent="0.25">
      <c r="A420" s="12" t="str">
        <f t="shared" si="50"/>
        <v/>
      </c>
      <c r="B420" s="13" t="str">
        <f t="shared" si="51"/>
        <v/>
      </c>
      <c r="C420" s="13" t="str">
        <f t="shared" si="52"/>
        <v/>
      </c>
      <c r="D420" s="13" t="str">
        <f t="shared" si="48"/>
        <v/>
      </c>
      <c r="E420" s="13" t="str">
        <f t="shared" si="55"/>
        <v/>
      </c>
      <c r="F420" s="13" t="str">
        <f t="shared" si="53"/>
        <v/>
      </c>
      <c r="H420" s="5" t="str">
        <f t="shared" si="54"/>
        <v/>
      </c>
      <c r="I420" s="1" t="str">
        <f t="shared" si="49"/>
        <v/>
      </c>
    </row>
    <row r="421" spans="1:9" x14ac:dyDescent="0.25">
      <c r="A421" s="12" t="str">
        <f t="shared" si="50"/>
        <v/>
      </c>
      <c r="B421" s="13" t="str">
        <f t="shared" si="51"/>
        <v/>
      </c>
      <c r="C421" s="13" t="str">
        <f t="shared" si="52"/>
        <v/>
      </c>
      <c r="D421" s="13" t="str">
        <f t="shared" si="48"/>
        <v/>
      </c>
      <c r="E421" s="13" t="str">
        <f t="shared" si="55"/>
        <v/>
      </c>
      <c r="F421" s="13" t="str">
        <f t="shared" si="53"/>
        <v/>
      </c>
      <c r="H421" s="5" t="str">
        <f t="shared" si="54"/>
        <v/>
      </c>
      <c r="I421" s="1" t="str">
        <f t="shared" si="49"/>
        <v/>
      </c>
    </row>
    <row r="422" spans="1:9" x14ac:dyDescent="0.25">
      <c r="A422" s="12" t="str">
        <f t="shared" si="50"/>
        <v/>
      </c>
      <c r="B422" s="13" t="str">
        <f t="shared" si="51"/>
        <v/>
      </c>
      <c r="C422" s="13" t="str">
        <f t="shared" si="52"/>
        <v/>
      </c>
      <c r="D422" s="13" t="str">
        <f t="shared" si="48"/>
        <v/>
      </c>
      <c r="E422" s="13" t="str">
        <f t="shared" si="55"/>
        <v/>
      </c>
      <c r="F422" s="13" t="str">
        <f t="shared" si="53"/>
        <v/>
      </c>
      <c r="H422" s="5" t="str">
        <f t="shared" si="54"/>
        <v/>
      </c>
      <c r="I422" s="1" t="str">
        <f t="shared" si="49"/>
        <v/>
      </c>
    </row>
    <row r="423" spans="1:9" x14ac:dyDescent="0.25">
      <c r="A423" s="12" t="str">
        <f t="shared" si="50"/>
        <v/>
      </c>
      <c r="B423" s="13" t="str">
        <f t="shared" si="51"/>
        <v/>
      </c>
      <c r="C423" s="13" t="str">
        <f t="shared" si="52"/>
        <v/>
      </c>
      <c r="D423" s="13" t="str">
        <f t="shared" si="48"/>
        <v/>
      </c>
      <c r="E423" s="13" t="str">
        <f t="shared" si="55"/>
        <v/>
      </c>
      <c r="F423" s="13" t="str">
        <f t="shared" si="53"/>
        <v/>
      </c>
      <c r="H423" s="5" t="str">
        <f t="shared" si="54"/>
        <v/>
      </c>
      <c r="I423" s="1" t="str">
        <f t="shared" si="49"/>
        <v/>
      </c>
    </row>
    <row r="424" spans="1:9" x14ac:dyDescent="0.25">
      <c r="A424" s="12" t="str">
        <f t="shared" si="50"/>
        <v/>
      </c>
      <c r="B424" s="13" t="str">
        <f t="shared" si="51"/>
        <v/>
      </c>
      <c r="C424" s="13" t="str">
        <f t="shared" si="52"/>
        <v/>
      </c>
      <c r="D424" s="13" t="str">
        <f t="shared" si="48"/>
        <v/>
      </c>
      <c r="E424" s="13" t="str">
        <f t="shared" si="55"/>
        <v/>
      </c>
      <c r="F424" s="13" t="str">
        <f t="shared" si="53"/>
        <v/>
      </c>
      <c r="H424" s="5" t="str">
        <f t="shared" si="54"/>
        <v/>
      </c>
      <c r="I424" s="1" t="str">
        <f t="shared" si="49"/>
        <v/>
      </c>
    </row>
    <row r="425" spans="1:9" x14ac:dyDescent="0.25">
      <c r="A425" s="12" t="str">
        <f t="shared" si="50"/>
        <v/>
      </c>
      <c r="B425" s="13" t="str">
        <f t="shared" si="51"/>
        <v/>
      </c>
      <c r="C425" s="13" t="str">
        <f t="shared" si="52"/>
        <v/>
      </c>
      <c r="D425" s="13" t="str">
        <f t="shared" si="48"/>
        <v/>
      </c>
      <c r="E425" s="13" t="str">
        <f t="shared" si="55"/>
        <v/>
      </c>
      <c r="F425" s="13" t="str">
        <f t="shared" si="53"/>
        <v/>
      </c>
      <c r="H425" s="5" t="str">
        <f t="shared" si="54"/>
        <v/>
      </c>
      <c r="I425" s="1" t="str">
        <f t="shared" si="49"/>
        <v/>
      </c>
    </row>
    <row r="426" spans="1:9" x14ac:dyDescent="0.25">
      <c r="A426" s="12" t="str">
        <f t="shared" si="50"/>
        <v/>
      </c>
      <c r="B426" s="13" t="str">
        <f t="shared" si="51"/>
        <v/>
      </c>
      <c r="C426" s="13" t="str">
        <f t="shared" si="52"/>
        <v/>
      </c>
      <c r="D426" s="13" t="str">
        <f t="shared" si="48"/>
        <v/>
      </c>
      <c r="E426" s="13" t="str">
        <f t="shared" si="55"/>
        <v/>
      </c>
      <c r="F426" s="13" t="str">
        <f t="shared" si="53"/>
        <v/>
      </c>
      <c r="H426" s="5" t="str">
        <f t="shared" si="54"/>
        <v/>
      </c>
      <c r="I426" s="1" t="str">
        <f t="shared" si="49"/>
        <v/>
      </c>
    </row>
    <row r="427" spans="1:9" x14ac:dyDescent="0.25">
      <c r="A427" s="12" t="str">
        <f t="shared" si="50"/>
        <v/>
      </c>
      <c r="B427" s="13" t="str">
        <f t="shared" si="51"/>
        <v/>
      </c>
      <c r="C427" s="13" t="str">
        <f t="shared" si="52"/>
        <v/>
      </c>
      <c r="D427" s="13" t="str">
        <f t="shared" si="48"/>
        <v/>
      </c>
      <c r="E427" s="13" t="str">
        <f t="shared" si="55"/>
        <v/>
      </c>
      <c r="F427" s="13" t="str">
        <f t="shared" si="53"/>
        <v/>
      </c>
      <c r="H427" s="5" t="str">
        <f t="shared" si="54"/>
        <v/>
      </c>
      <c r="I427" s="1" t="str">
        <f t="shared" si="49"/>
        <v/>
      </c>
    </row>
    <row r="428" spans="1:9" x14ac:dyDescent="0.25">
      <c r="A428" s="12" t="str">
        <f t="shared" si="50"/>
        <v/>
      </c>
      <c r="B428" s="13" t="str">
        <f t="shared" si="51"/>
        <v/>
      </c>
      <c r="C428" s="13" t="str">
        <f t="shared" si="52"/>
        <v/>
      </c>
      <c r="D428" s="13" t="str">
        <f t="shared" si="48"/>
        <v/>
      </c>
      <c r="E428" s="13" t="str">
        <f t="shared" si="55"/>
        <v/>
      </c>
      <c r="F428" s="13" t="str">
        <f t="shared" si="53"/>
        <v/>
      </c>
      <c r="H428" s="5" t="str">
        <f t="shared" si="54"/>
        <v/>
      </c>
      <c r="I428" s="1" t="str">
        <f t="shared" si="49"/>
        <v/>
      </c>
    </row>
    <row r="429" spans="1:9" x14ac:dyDescent="0.25">
      <c r="A429" s="12" t="str">
        <f t="shared" si="50"/>
        <v/>
      </c>
      <c r="B429" s="13" t="str">
        <f t="shared" si="51"/>
        <v/>
      </c>
      <c r="C429" s="13" t="str">
        <f t="shared" si="52"/>
        <v/>
      </c>
      <c r="D429" s="13" t="str">
        <f t="shared" si="48"/>
        <v/>
      </c>
      <c r="E429" s="13" t="str">
        <f t="shared" si="55"/>
        <v/>
      </c>
      <c r="F429" s="13" t="str">
        <f t="shared" si="53"/>
        <v/>
      </c>
      <c r="H429" s="5" t="str">
        <f t="shared" si="54"/>
        <v/>
      </c>
      <c r="I429" s="1" t="str">
        <f t="shared" si="49"/>
        <v/>
      </c>
    </row>
    <row r="430" spans="1:9" x14ac:dyDescent="0.25">
      <c r="A430" s="12" t="str">
        <f t="shared" si="50"/>
        <v/>
      </c>
      <c r="B430" s="13" t="str">
        <f t="shared" si="51"/>
        <v/>
      </c>
      <c r="C430" s="13" t="str">
        <f t="shared" si="52"/>
        <v/>
      </c>
      <c r="D430" s="13" t="str">
        <f t="shared" si="48"/>
        <v/>
      </c>
      <c r="E430" s="13" t="str">
        <f t="shared" si="55"/>
        <v/>
      </c>
      <c r="F430" s="13" t="str">
        <f t="shared" si="53"/>
        <v/>
      </c>
      <c r="H430" s="5" t="str">
        <f t="shared" si="54"/>
        <v/>
      </c>
      <c r="I430" s="1" t="str">
        <f t="shared" si="49"/>
        <v/>
      </c>
    </row>
    <row r="431" spans="1:9" x14ac:dyDescent="0.25">
      <c r="A431" s="12" t="str">
        <f t="shared" si="50"/>
        <v/>
      </c>
      <c r="B431" s="13" t="str">
        <f t="shared" si="51"/>
        <v/>
      </c>
      <c r="C431" s="13" t="str">
        <f t="shared" si="52"/>
        <v/>
      </c>
      <c r="D431" s="13" t="str">
        <f t="shared" si="48"/>
        <v/>
      </c>
      <c r="E431" s="13" t="str">
        <f t="shared" si="55"/>
        <v/>
      </c>
      <c r="F431" s="13" t="str">
        <f t="shared" si="53"/>
        <v/>
      </c>
      <c r="H431" s="5" t="str">
        <f t="shared" si="54"/>
        <v/>
      </c>
      <c r="I431" s="1" t="str">
        <f t="shared" si="49"/>
        <v/>
      </c>
    </row>
    <row r="432" spans="1:9" x14ac:dyDescent="0.25">
      <c r="A432" s="12" t="str">
        <f t="shared" si="50"/>
        <v/>
      </c>
      <c r="B432" s="13" t="str">
        <f t="shared" si="51"/>
        <v/>
      </c>
      <c r="C432" s="13" t="str">
        <f t="shared" si="52"/>
        <v/>
      </c>
      <c r="D432" s="13" t="str">
        <f t="shared" si="48"/>
        <v/>
      </c>
      <c r="E432" s="13" t="str">
        <f t="shared" si="55"/>
        <v/>
      </c>
      <c r="F432" s="13" t="str">
        <f t="shared" si="53"/>
        <v/>
      </c>
      <c r="H432" s="5" t="str">
        <f t="shared" si="54"/>
        <v/>
      </c>
      <c r="I432" s="1" t="str">
        <f t="shared" si="49"/>
        <v/>
      </c>
    </row>
    <row r="433" spans="1:9" x14ac:dyDescent="0.25">
      <c r="A433" s="12" t="str">
        <f t="shared" si="50"/>
        <v/>
      </c>
      <c r="B433" s="13" t="str">
        <f t="shared" si="51"/>
        <v/>
      </c>
      <c r="C433" s="13" t="str">
        <f t="shared" si="52"/>
        <v/>
      </c>
      <c r="D433" s="13" t="str">
        <f t="shared" si="48"/>
        <v/>
      </c>
      <c r="E433" s="13" t="str">
        <f t="shared" si="55"/>
        <v/>
      </c>
      <c r="F433" s="13" t="str">
        <f t="shared" si="53"/>
        <v/>
      </c>
      <c r="H433" s="5" t="str">
        <f t="shared" si="54"/>
        <v/>
      </c>
      <c r="I433" s="1" t="str">
        <f t="shared" si="49"/>
        <v/>
      </c>
    </row>
    <row r="434" spans="1:9" x14ac:dyDescent="0.25">
      <c r="A434" s="12" t="str">
        <f t="shared" si="50"/>
        <v/>
      </c>
      <c r="B434" s="13" t="str">
        <f t="shared" si="51"/>
        <v/>
      </c>
      <c r="C434" s="13" t="str">
        <f t="shared" si="52"/>
        <v/>
      </c>
      <c r="D434" s="13" t="str">
        <f t="shared" si="48"/>
        <v/>
      </c>
      <c r="E434" s="13" t="str">
        <f t="shared" si="55"/>
        <v/>
      </c>
      <c r="F434" s="13" t="str">
        <f t="shared" si="53"/>
        <v/>
      </c>
      <c r="H434" s="5" t="str">
        <f t="shared" si="54"/>
        <v/>
      </c>
      <c r="I434" s="1" t="str">
        <f t="shared" si="49"/>
        <v/>
      </c>
    </row>
    <row r="435" spans="1:9" x14ac:dyDescent="0.25">
      <c r="A435" s="12" t="str">
        <f t="shared" si="50"/>
        <v/>
      </c>
      <c r="B435" s="13" t="str">
        <f t="shared" si="51"/>
        <v/>
      </c>
      <c r="C435" s="13" t="str">
        <f t="shared" si="52"/>
        <v/>
      </c>
      <c r="D435" s="13" t="str">
        <f t="shared" si="48"/>
        <v/>
      </c>
      <c r="E435" s="13" t="str">
        <f t="shared" si="55"/>
        <v/>
      </c>
      <c r="F435" s="13" t="str">
        <f t="shared" si="53"/>
        <v/>
      </c>
      <c r="H435" s="5" t="str">
        <f t="shared" si="54"/>
        <v/>
      </c>
      <c r="I435" s="1" t="str">
        <f t="shared" si="49"/>
        <v/>
      </c>
    </row>
    <row r="436" spans="1:9" x14ac:dyDescent="0.25">
      <c r="A436" s="12" t="str">
        <f t="shared" si="50"/>
        <v/>
      </c>
      <c r="B436" s="13" t="str">
        <f t="shared" si="51"/>
        <v/>
      </c>
      <c r="C436" s="13" t="str">
        <f t="shared" si="52"/>
        <v/>
      </c>
      <c r="D436" s="13" t="str">
        <f t="shared" si="48"/>
        <v/>
      </c>
      <c r="E436" s="13" t="str">
        <f t="shared" si="55"/>
        <v/>
      </c>
      <c r="F436" s="13" t="str">
        <f t="shared" si="53"/>
        <v/>
      </c>
      <c r="H436" s="5" t="str">
        <f t="shared" si="54"/>
        <v/>
      </c>
      <c r="I436" s="1" t="str">
        <f t="shared" si="49"/>
        <v/>
      </c>
    </row>
    <row r="437" spans="1:9" x14ac:dyDescent="0.25">
      <c r="A437" s="12" t="str">
        <f t="shared" si="50"/>
        <v/>
      </c>
      <c r="B437" s="13" t="str">
        <f t="shared" si="51"/>
        <v/>
      </c>
      <c r="C437" s="13" t="str">
        <f t="shared" si="52"/>
        <v/>
      </c>
      <c r="D437" s="13" t="str">
        <f t="shared" si="48"/>
        <v/>
      </c>
      <c r="E437" s="13" t="str">
        <f t="shared" si="55"/>
        <v/>
      </c>
      <c r="F437" s="13" t="str">
        <f t="shared" si="53"/>
        <v/>
      </c>
      <c r="H437" s="5" t="str">
        <f t="shared" si="54"/>
        <v/>
      </c>
      <c r="I437" s="1" t="str">
        <f t="shared" si="49"/>
        <v/>
      </c>
    </row>
    <row r="438" spans="1:9" x14ac:dyDescent="0.25">
      <c r="A438" s="12" t="str">
        <f t="shared" si="50"/>
        <v/>
      </c>
      <c r="B438" s="13" t="str">
        <f t="shared" si="51"/>
        <v/>
      </c>
      <c r="C438" s="13" t="str">
        <f t="shared" si="52"/>
        <v/>
      </c>
      <c r="D438" s="13" t="str">
        <f t="shared" si="48"/>
        <v/>
      </c>
      <c r="E438" s="13" t="str">
        <f t="shared" si="55"/>
        <v/>
      </c>
      <c r="F438" s="13" t="str">
        <f t="shared" si="53"/>
        <v/>
      </c>
      <c r="H438" s="5" t="str">
        <f t="shared" si="54"/>
        <v/>
      </c>
      <c r="I438" s="1" t="str">
        <f t="shared" si="49"/>
        <v/>
      </c>
    </row>
    <row r="439" spans="1:9" x14ac:dyDescent="0.25">
      <c r="A439" s="12" t="str">
        <f t="shared" si="50"/>
        <v/>
      </c>
      <c r="B439" s="13" t="str">
        <f t="shared" si="51"/>
        <v/>
      </c>
      <c r="C439" s="13" t="str">
        <f t="shared" si="52"/>
        <v/>
      </c>
      <c r="D439" s="13" t="str">
        <f t="shared" si="48"/>
        <v/>
      </c>
      <c r="E439" s="13" t="str">
        <f t="shared" si="55"/>
        <v/>
      </c>
      <c r="F439" s="13" t="str">
        <f t="shared" si="53"/>
        <v/>
      </c>
      <c r="H439" s="5" t="str">
        <f t="shared" si="54"/>
        <v/>
      </c>
      <c r="I439" s="1" t="str">
        <f t="shared" si="49"/>
        <v/>
      </c>
    </row>
    <row r="440" spans="1:9" x14ac:dyDescent="0.25">
      <c r="A440" s="12" t="str">
        <f t="shared" si="50"/>
        <v/>
      </c>
      <c r="B440" s="13" t="str">
        <f t="shared" si="51"/>
        <v/>
      </c>
      <c r="C440" s="13" t="str">
        <f t="shared" si="52"/>
        <v/>
      </c>
      <c r="D440" s="13" t="str">
        <f t="shared" si="48"/>
        <v/>
      </c>
      <c r="E440" s="13" t="str">
        <f t="shared" si="55"/>
        <v/>
      </c>
      <c r="F440" s="13" t="str">
        <f t="shared" si="53"/>
        <v/>
      </c>
      <c r="H440" s="5" t="str">
        <f t="shared" si="54"/>
        <v/>
      </c>
      <c r="I440" s="1" t="str">
        <f t="shared" si="49"/>
        <v/>
      </c>
    </row>
    <row r="441" spans="1:9" x14ac:dyDescent="0.25">
      <c r="A441" s="12" t="str">
        <f t="shared" si="50"/>
        <v/>
      </c>
      <c r="B441" s="13" t="str">
        <f t="shared" si="51"/>
        <v/>
      </c>
      <c r="C441" s="13" t="str">
        <f t="shared" si="52"/>
        <v/>
      </c>
      <c r="D441" s="13" t="str">
        <f t="shared" si="48"/>
        <v/>
      </c>
      <c r="E441" s="13" t="str">
        <f t="shared" si="55"/>
        <v/>
      </c>
      <c r="F441" s="13" t="str">
        <f t="shared" si="53"/>
        <v/>
      </c>
      <c r="H441" s="5" t="str">
        <f t="shared" si="54"/>
        <v/>
      </c>
      <c r="I441" s="1" t="str">
        <f t="shared" si="49"/>
        <v/>
      </c>
    </row>
    <row r="442" spans="1:9" x14ac:dyDescent="0.25">
      <c r="A442" s="12" t="str">
        <f t="shared" si="50"/>
        <v/>
      </c>
      <c r="B442" s="13" t="str">
        <f t="shared" si="51"/>
        <v/>
      </c>
      <c r="C442" s="13" t="str">
        <f t="shared" si="52"/>
        <v/>
      </c>
      <c r="D442" s="13" t="str">
        <f t="shared" si="48"/>
        <v/>
      </c>
      <c r="E442" s="13" t="str">
        <f t="shared" si="55"/>
        <v/>
      </c>
      <c r="F442" s="13" t="str">
        <f t="shared" si="53"/>
        <v/>
      </c>
      <c r="H442" s="5" t="str">
        <f t="shared" si="54"/>
        <v/>
      </c>
      <c r="I442" s="1" t="str">
        <f t="shared" si="49"/>
        <v/>
      </c>
    </row>
    <row r="443" spans="1:9" x14ac:dyDescent="0.25">
      <c r="A443" s="12" t="str">
        <f t="shared" si="50"/>
        <v/>
      </c>
      <c r="B443" s="13" t="str">
        <f t="shared" si="51"/>
        <v/>
      </c>
      <c r="C443" s="13" t="str">
        <f t="shared" si="52"/>
        <v/>
      </c>
      <c r="D443" s="13" t="str">
        <f t="shared" si="48"/>
        <v/>
      </c>
      <c r="E443" s="13" t="str">
        <f t="shared" si="55"/>
        <v/>
      </c>
      <c r="F443" s="13" t="str">
        <f t="shared" si="53"/>
        <v/>
      </c>
      <c r="H443" s="5" t="str">
        <f t="shared" si="54"/>
        <v/>
      </c>
      <c r="I443" s="1" t="str">
        <f t="shared" si="49"/>
        <v/>
      </c>
    </row>
    <row r="444" spans="1:9" x14ac:dyDescent="0.25">
      <c r="A444" s="12" t="str">
        <f t="shared" si="50"/>
        <v/>
      </c>
      <c r="B444" s="13" t="str">
        <f t="shared" si="51"/>
        <v/>
      </c>
      <c r="C444" s="13" t="str">
        <f t="shared" si="52"/>
        <v/>
      </c>
      <c r="D444" s="13" t="str">
        <f t="shared" si="48"/>
        <v/>
      </c>
      <c r="E444" s="13" t="str">
        <f t="shared" si="55"/>
        <v/>
      </c>
      <c r="F444" s="13" t="str">
        <f t="shared" si="53"/>
        <v/>
      </c>
      <c r="H444" s="5" t="str">
        <f t="shared" si="54"/>
        <v/>
      </c>
      <c r="I444" s="1" t="str">
        <f t="shared" si="49"/>
        <v/>
      </c>
    </row>
    <row r="445" spans="1:9" x14ac:dyDescent="0.25">
      <c r="A445" s="12" t="str">
        <f t="shared" si="50"/>
        <v/>
      </c>
      <c r="B445" s="13" t="str">
        <f t="shared" si="51"/>
        <v/>
      </c>
      <c r="C445" s="13" t="str">
        <f t="shared" si="52"/>
        <v/>
      </c>
      <c r="D445" s="13" t="str">
        <f t="shared" si="48"/>
        <v/>
      </c>
      <c r="E445" s="13" t="str">
        <f t="shared" si="55"/>
        <v/>
      </c>
      <c r="F445" s="13" t="str">
        <f t="shared" si="53"/>
        <v/>
      </c>
      <c r="H445" s="5" t="str">
        <f t="shared" si="54"/>
        <v/>
      </c>
      <c r="I445" s="1" t="str">
        <f t="shared" si="49"/>
        <v/>
      </c>
    </row>
    <row r="446" spans="1:9" x14ac:dyDescent="0.25">
      <c r="A446" s="12" t="str">
        <f t="shared" si="50"/>
        <v/>
      </c>
      <c r="B446" s="13" t="str">
        <f t="shared" si="51"/>
        <v/>
      </c>
      <c r="C446" s="13" t="str">
        <f t="shared" si="52"/>
        <v/>
      </c>
      <c r="D446" s="13" t="str">
        <f t="shared" si="48"/>
        <v/>
      </c>
      <c r="E446" s="13" t="str">
        <f t="shared" si="55"/>
        <v/>
      </c>
      <c r="F446" s="13" t="str">
        <f t="shared" si="53"/>
        <v/>
      </c>
      <c r="H446" s="5" t="str">
        <f t="shared" si="54"/>
        <v/>
      </c>
      <c r="I446" s="1" t="str">
        <f t="shared" si="49"/>
        <v/>
      </c>
    </row>
    <row r="447" spans="1:9" x14ac:dyDescent="0.25">
      <c r="A447" s="12" t="str">
        <f t="shared" si="50"/>
        <v/>
      </c>
      <c r="B447" s="13" t="str">
        <f t="shared" si="51"/>
        <v/>
      </c>
      <c r="C447" s="13" t="str">
        <f t="shared" si="52"/>
        <v/>
      </c>
      <c r="D447" s="13" t="str">
        <f t="shared" si="48"/>
        <v/>
      </c>
      <c r="E447" s="13" t="str">
        <f t="shared" si="55"/>
        <v/>
      </c>
      <c r="F447" s="13" t="str">
        <f t="shared" si="53"/>
        <v/>
      </c>
      <c r="H447" s="5" t="str">
        <f t="shared" si="54"/>
        <v/>
      </c>
      <c r="I447" s="1" t="str">
        <f t="shared" si="49"/>
        <v/>
      </c>
    </row>
    <row r="448" spans="1:9" x14ac:dyDescent="0.25">
      <c r="A448" s="12" t="str">
        <f t="shared" si="50"/>
        <v/>
      </c>
      <c r="B448" s="13" t="str">
        <f t="shared" si="51"/>
        <v/>
      </c>
      <c r="C448" s="13" t="str">
        <f t="shared" si="52"/>
        <v/>
      </c>
      <c r="D448" s="13" t="str">
        <f t="shared" si="48"/>
        <v/>
      </c>
      <c r="E448" s="13" t="str">
        <f t="shared" si="55"/>
        <v/>
      </c>
      <c r="F448" s="13" t="str">
        <f t="shared" si="53"/>
        <v/>
      </c>
      <c r="H448" s="5" t="str">
        <f t="shared" si="54"/>
        <v/>
      </c>
      <c r="I448" s="1" t="str">
        <f t="shared" si="49"/>
        <v/>
      </c>
    </row>
    <row r="449" spans="1:9" x14ac:dyDescent="0.25">
      <c r="A449" s="12" t="str">
        <f t="shared" si="50"/>
        <v/>
      </c>
      <c r="B449" s="13" t="str">
        <f t="shared" si="51"/>
        <v/>
      </c>
      <c r="C449" s="13" t="str">
        <f t="shared" si="52"/>
        <v/>
      </c>
      <c r="D449" s="13" t="str">
        <f t="shared" si="48"/>
        <v/>
      </c>
      <c r="E449" s="13" t="str">
        <f t="shared" si="55"/>
        <v/>
      </c>
      <c r="F449" s="13" t="str">
        <f t="shared" si="53"/>
        <v/>
      </c>
      <c r="H449" s="5" t="str">
        <f t="shared" si="54"/>
        <v/>
      </c>
      <c r="I449" s="1" t="str">
        <f t="shared" si="49"/>
        <v/>
      </c>
    </row>
    <row r="450" spans="1:9" x14ac:dyDescent="0.25">
      <c r="A450" s="12" t="str">
        <f t="shared" si="50"/>
        <v/>
      </c>
      <c r="B450" s="13" t="str">
        <f t="shared" si="51"/>
        <v/>
      </c>
      <c r="C450" s="13" t="str">
        <f t="shared" si="52"/>
        <v/>
      </c>
      <c r="D450" s="13" t="str">
        <f t="shared" si="48"/>
        <v/>
      </c>
      <c r="E450" s="13" t="str">
        <f t="shared" si="55"/>
        <v/>
      </c>
      <c r="F450" s="13" t="str">
        <f t="shared" si="53"/>
        <v/>
      </c>
      <c r="H450" s="5" t="str">
        <f t="shared" si="54"/>
        <v/>
      </c>
      <c r="I450" s="1" t="str">
        <f t="shared" si="49"/>
        <v/>
      </c>
    </row>
    <row r="451" spans="1:9" x14ac:dyDescent="0.25">
      <c r="A451" s="12" t="str">
        <f t="shared" si="50"/>
        <v/>
      </c>
      <c r="B451" s="13" t="str">
        <f t="shared" si="51"/>
        <v/>
      </c>
      <c r="C451" s="13" t="str">
        <f t="shared" si="52"/>
        <v/>
      </c>
      <c r="D451" s="13" t="str">
        <f t="shared" si="48"/>
        <v/>
      </c>
      <c r="E451" s="13" t="str">
        <f t="shared" si="55"/>
        <v/>
      </c>
      <c r="F451" s="13" t="str">
        <f t="shared" si="53"/>
        <v/>
      </c>
      <c r="H451" s="5" t="str">
        <f t="shared" si="54"/>
        <v/>
      </c>
      <c r="I451" s="1" t="str">
        <f t="shared" si="49"/>
        <v/>
      </c>
    </row>
    <row r="452" spans="1:9" x14ac:dyDescent="0.25">
      <c r="A452" s="12" t="str">
        <f t="shared" si="50"/>
        <v/>
      </c>
      <c r="B452" s="13" t="str">
        <f t="shared" si="51"/>
        <v/>
      </c>
      <c r="C452" s="13" t="str">
        <f t="shared" si="52"/>
        <v/>
      </c>
      <c r="D452" s="13" t="str">
        <f t="shared" si="48"/>
        <v/>
      </c>
      <c r="E452" s="13" t="str">
        <f t="shared" si="55"/>
        <v/>
      </c>
      <c r="F452" s="13" t="str">
        <f t="shared" si="53"/>
        <v/>
      </c>
      <c r="H452" s="5" t="str">
        <f t="shared" si="54"/>
        <v/>
      </c>
      <c r="I452" s="1" t="str">
        <f t="shared" si="49"/>
        <v/>
      </c>
    </row>
    <row r="453" spans="1:9" x14ac:dyDescent="0.25">
      <c r="A453" s="12" t="str">
        <f t="shared" si="50"/>
        <v/>
      </c>
      <c r="B453" s="13" t="str">
        <f t="shared" si="51"/>
        <v/>
      </c>
      <c r="C453" s="13" t="str">
        <f t="shared" si="52"/>
        <v/>
      </c>
      <c r="D453" s="13" t="str">
        <f t="shared" si="48"/>
        <v/>
      </c>
      <c r="E453" s="13" t="str">
        <f t="shared" si="55"/>
        <v/>
      </c>
      <c r="F453" s="13" t="str">
        <f t="shared" si="53"/>
        <v/>
      </c>
      <c r="H453" s="5" t="str">
        <f t="shared" si="54"/>
        <v/>
      </c>
      <c r="I453" s="1" t="str">
        <f t="shared" si="49"/>
        <v/>
      </c>
    </row>
    <row r="454" spans="1:9" x14ac:dyDescent="0.25">
      <c r="A454" s="12" t="str">
        <f t="shared" si="50"/>
        <v/>
      </c>
      <c r="B454" s="13" t="str">
        <f t="shared" si="51"/>
        <v/>
      </c>
      <c r="C454" s="13" t="str">
        <f t="shared" si="52"/>
        <v/>
      </c>
      <c r="D454" s="13" t="str">
        <f t="shared" si="48"/>
        <v/>
      </c>
      <c r="E454" s="13" t="str">
        <f t="shared" si="55"/>
        <v/>
      </c>
      <c r="F454" s="13" t="str">
        <f t="shared" si="53"/>
        <v/>
      </c>
      <c r="H454" s="5" t="str">
        <f t="shared" si="54"/>
        <v/>
      </c>
      <c r="I454" s="1" t="str">
        <f t="shared" si="49"/>
        <v/>
      </c>
    </row>
    <row r="455" spans="1:9" x14ac:dyDescent="0.25">
      <c r="A455" s="12" t="str">
        <f t="shared" si="50"/>
        <v/>
      </c>
      <c r="B455" s="13" t="str">
        <f t="shared" si="51"/>
        <v/>
      </c>
      <c r="C455" s="13" t="str">
        <f t="shared" si="52"/>
        <v/>
      </c>
      <c r="D455" s="13" t="str">
        <f t="shared" si="48"/>
        <v/>
      </c>
      <c r="E455" s="13" t="str">
        <f t="shared" si="55"/>
        <v/>
      </c>
      <c r="F455" s="13" t="str">
        <f t="shared" si="53"/>
        <v/>
      </c>
      <c r="H455" s="5" t="str">
        <f t="shared" si="54"/>
        <v/>
      </c>
      <c r="I455" s="1" t="str">
        <f t="shared" si="49"/>
        <v/>
      </c>
    </row>
    <row r="456" spans="1:9" x14ac:dyDescent="0.25">
      <c r="A456" s="12" t="str">
        <f t="shared" si="50"/>
        <v/>
      </c>
      <c r="B456" s="13" t="str">
        <f t="shared" si="51"/>
        <v/>
      </c>
      <c r="C456" s="13" t="str">
        <f t="shared" si="52"/>
        <v/>
      </c>
      <c r="D456" s="13" t="str">
        <f t="shared" si="48"/>
        <v/>
      </c>
      <c r="E456" s="13" t="str">
        <f t="shared" si="55"/>
        <v/>
      </c>
      <c r="F456" s="13" t="str">
        <f t="shared" si="53"/>
        <v/>
      </c>
      <c r="H456" s="5" t="str">
        <f t="shared" si="54"/>
        <v/>
      </c>
      <c r="I456" s="1" t="str">
        <f t="shared" si="49"/>
        <v/>
      </c>
    </row>
    <row r="457" spans="1:9" x14ac:dyDescent="0.25">
      <c r="A457" s="12" t="str">
        <f t="shared" si="50"/>
        <v/>
      </c>
      <c r="B457" s="13" t="str">
        <f t="shared" si="51"/>
        <v/>
      </c>
      <c r="C457" s="13" t="str">
        <f t="shared" si="52"/>
        <v/>
      </c>
      <c r="D457" s="13" t="str">
        <f t="shared" si="48"/>
        <v/>
      </c>
      <c r="E457" s="13" t="str">
        <f t="shared" si="55"/>
        <v/>
      </c>
      <c r="F457" s="13" t="str">
        <f t="shared" si="53"/>
        <v/>
      </c>
      <c r="H457" s="5" t="str">
        <f t="shared" si="54"/>
        <v/>
      </c>
      <c r="I457" s="1" t="str">
        <f t="shared" si="49"/>
        <v/>
      </c>
    </row>
    <row r="458" spans="1:9" x14ac:dyDescent="0.25">
      <c r="A458" s="12" t="str">
        <f t="shared" si="50"/>
        <v/>
      </c>
      <c r="B458" s="13" t="str">
        <f t="shared" si="51"/>
        <v/>
      </c>
      <c r="C458" s="13" t="str">
        <f t="shared" si="52"/>
        <v/>
      </c>
      <c r="D458" s="13" t="str">
        <f t="shared" si="48"/>
        <v/>
      </c>
      <c r="E458" s="13" t="str">
        <f t="shared" si="55"/>
        <v/>
      </c>
      <c r="F458" s="13" t="str">
        <f t="shared" si="53"/>
        <v/>
      </c>
      <c r="H458" s="5" t="str">
        <f t="shared" si="54"/>
        <v/>
      </c>
      <c r="I458" s="1" t="str">
        <f t="shared" si="49"/>
        <v/>
      </c>
    </row>
    <row r="459" spans="1:9" x14ac:dyDescent="0.25">
      <c r="A459" s="12" t="str">
        <f t="shared" si="50"/>
        <v/>
      </c>
      <c r="B459" s="13" t="str">
        <f t="shared" si="51"/>
        <v/>
      </c>
      <c r="C459" s="13" t="str">
        <f t="shared" si="52"/>
        <v/>
      </c>
      <c r="D459" s="13" t="str">
        <f t="shared" si="48"/>
        <v/>
      </c>
      <c r="E459" s="13" t="str">
        <f t="shared" si="55"/>
        <v/>
      </c>
      <c r="F459" s="13" t="str">
        <f t="shared" si="53"/>
        <v/>
      </c>
      <c r="H459" s="5" t="str">
        <f t="shared" si="54"/>
        <v/>
      </c>
      <c r="I459" s="1" t="str">
        <f t="shared" si="49"/>
        <v/>
      </c>
    </row>
    <row r="460" spans="1:9" x14ac:dyDescent="0.25">
      <c r="A460" s="12" t="str">
        <f t="shared" si="50"/>
        <v/>
      </c>
      <c r="B460" s="13" t="str">
        <f t="shared" si="51"/>
        <v/>
      </c>
      <c r="C460" s="13" t="str">
        <f t="shared" si="52"/>
        <v/>
      </c>
      <c r="D460" s="13" t="str">
        <f t="shared" si="48"/>
        <v/>
      </c>
      <c r="E460" s="13" t="str">
        <f t="shared" si="55"/>
        <v/>
      </c>
      <c r="F460" s="13" t="str">
        <f t="shared" si="53"/>
        <v/>
      </c>
      <c r="H460" s="5" t="str">
        <f t="shared" si="54"/>
        <v/>
      </c>
      <c r="I460" s="1" t="str">
        <f t="shared" si="49"/>
        <v/>
      </c>
    </row>
    <row r="461" spans="1:9" x14ac:dyDescent="0.25">
      <c r="A461" s="12" t="str">
        <f t="shared" si="50"/>
        <v/>
      </c>
      <c r="B461" s="13" t="str">
        <f t="shared" si="51"/>
        <v/>
      </c>
      <c r="C461" s="13" t="str">
        <f t="shared" si="52"/>
        <v/>
      </c>
      <c r="D461" s="13" t="str">
        <f t="shared" si="48"/>
        <v/>
      </c>
      <c r="E461" s="13" t="str">
        <f t="shared" si="55"/>
        <v/>
      </c>
      <c r="F461" s="13" t="str">
        <f t="shared" si="53"/>
        <v/>
      </c>
      <c r="H461" s="5" t="str">
        <f t="shared" si="54"/>
        <v/>
      </c>
      <c r="I461" s="1" t="str">
        <f t="shared" si="49"/>
        <v/>
      </c>
    </row>
    <row r="462" spans="1:9" x14ac:dyDescent="0.25">
      <c r="A462" s="12" t="str">
        <f t="shared" si="50"/>
        <v/>
      </c>
      <c r="B462" s="13" t="str">
        <f t="shared" si="51"/>
        <v/>
      </c>
      <c r="C462" s="13" t="str">
        <f t="shared" si="52"/>
        <v/>
      </c>
      <c r="D462" s="13" t="str">
        <f t="shared" si="48"/>
        <v/>
      </c>
      <c r="E462" s="13" t="str">
        <f t="shared" si="55"/>
        <v/>
      </c>
      <c r="F462" s="13" t="str">
        <f t="shared" si="53"/>
        <v/>
      </c>
      <c r="H462" s="5" t="str">
        <f t="shared" si="54"/>
        <v/>
      </c>
      <c r="I462" s="1" t="str">
        <f t="shared" si="49"/>
        <v/>
      </c>
    </row>
    <row r="463" spans="1:9" x14ac:dyDescent="0.25">
      <c r="A463" s="12" t="str">
        <f t="shared" si="50"/>
        <v/>
      </c>
      <c r="B463" s="13" t="str">
        <f t="shared" si="51"/>
        <v/>
      </c>
      <c r="C463" s="13" t="str">
        <f t="shared" si="52"/>
        <v/>
      </c>
      <c r="D463" s="13" t="str">
        <f t="shared" si="48"/>
        <v/>
      </c>
      <c r="E463" s="13" t="str">
        <f t="shared" si="55"/>
        <v/>
      </c>
      <c r="F463" s="13" t="str">
        <f t="shared" si="53"/>
        <v/>
      </c>
      <c r="H463" s="5" t="str">
        <f t="shared" si="54"/>
        <v/>
      </c>
      <c r="I463" s="1" t="str">
        <f t="shared" si="49"/>
        <v/>
      </c>
    </row>
    <row r="464" spans="1:9" x14ac:dyDescent="0.25">
      <c r="A464" s="12" t="str">
        <f t="shared" si="50"/>
        <v/>
      </c>
      <c r="B464" s="13" t="str">
        <f t="shared" si="51"/>
        <v/>
      </c>
      <c r="C464" s="13" t="str">
        <f t="shared" si="52"/>
        <v/>
      </c>
      <c r="D464" s="13" t="str">
        <f t="shared" ref="D464:D485" si="56">IF(A464&lt;&gt;"",$B$11,"")</f>
        <v/>
      </c>
      <c r="E464" s="13" t="str">
        <f t="shared" si="55"/>
        <v/>
      </c>
      <c r="F464" s="13" t="str">
        <f t="shared" si="53"/>
        <v/>
      </c>
      <c r="H464" s="5" t="str">
        <f t="shared" si="54"/>
        <v/>
      </c>
      <c r="I464" s="1" t="str">
        <f t="shared" ref="I464:I485" si="57">IF(A464&lt;&gt;"",H464*(1+$H$5)^(-A464),"")</f>
        <v/>
      </c>
    </row>
    <row r="465" spans="1:9" x14ac:dyDescent="0.25">
      <c r="A465" s="12" t="str">
        <f t="shared" ref="A465:A485" si="58">IFERROR(IF(A464=$B$10,"",A464+1),"")</f>
        <v/>
      </c>
      <c r="B465" s="13" t="str">
        <f t="shared" ref="B465:B485" si="59">IF(A465&lt;&gt;"",F464*$C$9,"")</f>
        <v/>
      </c>
      <c r="C465" s="13" t="str">
        <f t="shared" ref="C465:C485" si="60">IF(A465&lt;&gt;"",D465-B465,"")</f>
        <v/>
      </c>
      <c r="D465" s="13" t="str">
        <f t="shared" si="56"/>
        <v/>
      </c>
      <c r="E465" s="13" t="str">
        <f t="shared" si="55"/>
        <v/>
      </c>
      <c r="F465" s="13" t="str">
        <f t="shared" ref="F465:F485" si="61">IF(A465&lt;&gt;"",F464-C465,"")</f>
        <v/>
      </c>
      <c r="H465" s="5" t="str">
        <f t="shared" ref="H465:H485" si="62">IF(A465&lt;&gt;"",-D465,"")</f>
        <v/>
      </c>
      <c r="I465" s="1" t="str">
        <f t="shared" si="57"/>
        <v/>
      </c>
    </row>
    <row r="466" spans="1:9" x14ac:dyDescent="0.25">
      <c r="A466" s="12" t="str">
        <f t="shared" si="58"/>
        <v/>
      </c>
      <c r="B466" s="13" t="str">
        <f t="shared" si="59"/>
        <v/>
      </c>
      <c r="C466" s="13" t="str">
        <f t="shared" si="60"/>
        <v/>
      </c>
      <c r="D466" s="13" t="str">
        <f t="shared" si="56"/>
        <v/>
      </c>
      <c r="E466" s="13" t="str">
        <f t="shared" ref="E466:E485" si="63">IF(A466&lt;&gt;"",E465+C466,"")</f>
        <v/>
      </c>
      <c r="F466" s="13" t="str">
        <f t="shared" si="61"/>
        <v/>
      </c>
      <c r="H466" s="5" t="str">
        <f t="shared" si="62"/>
        <v/>
      </c>
      <c r="I466" s="1" t="str">
        <f t="shared" si="57"/>
        <v/>
      </c>
    </row>
    <row r="467" spans="1:9" x14ac:dyDescent="0.25">
      <c r="A467" s="12" t="str">
        <f t="shared" si="58"/>
        <v/>
      </c>
      <c r="B467" s="13" t="str">
        <f t="shared" si="59"/>
        <v/>
      </c>
      <c r="C467" s="13" t="str">
        <f t="shared" si="60"/>
        <v/>
      </c>
      <c r="D467" s="13" t="str">
        <f t="shared" si="56"/>
        <v/>
      </c>
      <c r="E467" s="13" t="str">
        <f t="shared" si="63"/>
        <v/>
      </c>
      <c r="F467" s="13" t="str">
        <f t="shared" si="61"/>
        <v/>
      </c>
      <c r="H467" s="5" t="str">
        <f t="shared" si="62"/>
        <v/>
      </c>
      <c r="I467" s="1" t="str">
        <f t="shared" si="57"/>
        <v/>
      </c>
    </row>
    <row r="468" spans="1:9" x14ac:dyDescent="0.25">
      <c r="A468" s="12" t="str">
        <f t="shared" si="58"/>
        <v/>
      </c>
      <c r="B468" s="13" t="str">
        <f t="shared" si="59"/>
        <v/>
      </c>
      <c r="C468" s="13" t="str">
        <f t="shared" si="60"/>
        <v/>
      </c>
      <c r="D468" s="13" t="str">
        <f t="shared" si="56"/>
        <v/>
      </c>
      <c r="E468" s="13" t="str">
        <f t="shared" si="63"/>
        <v/>
      </c>
      <c r="F468" s="13" t="str">
        <f t="shared" si="61"/>
        <v/>
      </c>
      <c r="H468" s="5" t="str">
        <f t="shared" si="62"/>
        <v/>
      </c>
      <c r="I468" s="1" t="str">
        <f t="shared" si="57"/>
        <v/>
      </c>
    </row>
    <row r="469" spans="1:9" x14ac:dyDescent="0.25">
      <c r="A469" s="12" t="str">
        <f t="shared" si="58"/>
        <v/>
      </c>
      <c r="B469" s="13" t="str">
        <f t="shared" si="59"/>
        <v/>
      </c>
      <c r="C469" s="13" t="str">
        <f t="shared" si="60"/>
        <v/>
      </c>
      <c r="D469" s="13" t="str">
        <f t="shared" si="56"/>
        <v/>
      </c>
      <c r="E469" s="13" t="str">
        <f t="shared" si="63"/>
        <v/>
      </c>
      <c r="F469" s="13" t="str">
        <f t="shared" si="61"/>
        <v/>
      </c>
      <c r="H469" s="5" t="str">
        <f t="shared" si="62"/>
        <v/>
      </c>
      <c r="I469" s="1" t="str">
        <f t="shared" si="57"/>
        <v/>
      </c>
    </row>
    <row r="470" spans="1:9" x14ac:dyDescent="0.25">
      <c r="A470" s="12" t="str">
        <f t="shared" si="58"/>
        <v/>
      </c>
      <c r="B470" s="13" t="str">
        <f t="shared" si="59"/>
        <v/>
      </c>
      <c r="C470" s="13" t="str">
        <f t="shared" si="60"/>
        <v/>
      </c>
      <c r="D470" s="13" t="str">
        <f t="shared" si="56"/>
        <v/>
      </c>
      <c r="E470" s="13" t="str">
        <f t="shared" si="63"/>
        <v/>
      </c>
      <c r="F470" s="13" t="str">
        <f t="shared" si="61"/>
        <v/>
      </c>
      <c r="H470" s="5" t="str">
        <f t="shared" si="62"/>
        <v/>
      </c>
      <c r="I470" s="1" t="str">
        <f t="shared" si="57"/>
        <v/>
      </c>
    </row>
    <row r="471" spans="1:9" x14ac:dyDescent="0.25">
      <c r="A471" s="12" t="str">
        <f t="shared" si="58"/>
        <v/>
      </c>
      <c r="B471" s="13" t="str">
        <f t="shared" si="59"/>
        <v/>
      </c>
      <c r="C471" s="13" t="str">
        <f t="shared" si="60"/>
        <v/>
      </c>
      <c r="D471" s="13" t="str">
        <f t="shared" si="56"/>
        <v/>
      </c>
      <c r="E471" s="13" t="str">
        <f t="shared" si="63"/>
        <v/>
      </c>
      <c r="F471" s="13" t="str">
        <f t="shared" si="61"/>
        <v/>
      </c>
      <c r="H471" s="5" t="str">
        <f t="shared" si="62"/>
        <v/>
      </c>
      <c r="I471" s="1" t="str">
        <f t="shared" si="57"/>
        <v/>
      </c>
    </row>
    <row r="472" spans="1:9" x14ac:dyDescent="0.25">
      <c r="A472" s="12" t="str">
        <f t="shared" si="58"/>
        <v/>
      </c>
      <c r="B472" s="13" t="str">
        <f t="shared" si="59"/>
        <v/>
      </c>
      <c r="C472" s="13" t="str">
        <f t="shared" si="60"/>
        <v/>
      </c>
      <c r="D472" s="13" t="str">
        <f t="shared" si="56"/>
        <v/>
      </c>
      <c r="E472" s="13" t="str">
        <f t="shared" si="63"/>
        <v/>
      </c>
      <c r="F472" s="13" t="str">
        <f t="shared" si="61"/>
        <v/>
      </c>
      <c r="H472" s="5" t="str">
        <f t="shared" si="62"/>
        <v/>
      </c>
      <c r="I472" s="1" t="str">
        <f t="shared" si="57"/>
        <v/>
      </c>
    </row>
    <row r="473" spans="1:9" x14ac:dyDescent="0.25">
      <c r="A473" s="12" t="str">
        <f t="shared" si="58"/>
        <v/>
      </c>
      <c r="B473" s="13" t="str">
        <f t="shared" si="59"/>
        <v/>
      </c>
      <c r="C473" s="13" t="str">
        <f t="shared" si="60"/>
        <v/>
      </c>
      <c r="D473" s="13" t="str">
        <f t="shared" si="56"/>
        <v/>
      </c>
      <c r="E473" s="13" t="str">
        <f t="shared" si="63"/>
        <v/>
      </c>
      <c r="F473" s="13" t="str">
        <f t="shared" si="61"/>
        <v/>
      </c>
      <c r="H473" s="5" t="str">
        <f t="shared" si="62"/>
        <v/>
      </c>
      <c r="I473" s="1" t="str">
        <f t="shared" si="57"/>
        <v/>
      </c>
    </row>
    <row r="474" spans="1:9" x14ac:dyDescent="0.25">
      <c r="A474" s="12" t="str">
        <f t="shared" si="58"/>
        <v/>
      </c>
      <c r="B474" s="13" t="str">
        <f t="shared" si="59"/>
        <v/>
      </c>
      <c r="C474" s="13" t="str">
        <f t="shared" si="60"/>
        <v/>
      </c>
      <c r="D474" s="13" t="str">
        <f t="shared" si="56"/>
        <v/>
      </c>
      <c r="E474" s="13" t="str">
        <f t="shared" si="63"/>
        <v/>
      </c>
      <c r="F474" s="13" t="str">
        <f t="shared" si="61"/>
        <v/>
      </c>
      <c r="H474" s="5" t="str">
        <f t="shared" si="62"/>
        <v/>
      </c>
      <c r="I474" s="1" t="str">
        <f t="shared" si="57"/>
        <v/>
      </c>
    </row>
    <row r="475" spans="1:9" x14ac:dyDescent="0.25">
      <c r="A475" s="12" t="str">
        <f t="shared" si="58"/>
        <v/>
      </c>
      <c r="B475" s="13" t="str">
        <f t="shared" si="59"/>
        <v/>
      </c>
      <c r="C475" s="13" t="str">
        <f t="shared" si="60"/>
        <v/>
      </c>
      <c r="D475" s="13" t="str">
        <f t="shared" si="56"/>
        <v/>
      </c>
      <c r="E475" s="13" t="str">
        <f t="shared" si="63"/>
        <v/>
      </c>
      <c r="F475" s="13" t="str">
        <f t="shared" si="61"/>
        <v/>
      </c>
      <c r="H475" s="5" t="str">
        <f t="shared" si="62"/>
        <v/>
      </c>
      <c r="I475" s="1" t="str">
        <f t="shared" si="57"/>
        <v/>
      </c>
    </row>
    <row r="476" spans="1:9" x14ac:dyDescent="0.25">
      <c r="A476" s="12" t="str">
        <f t="shared" si="58"/>
        <v/>
      </c>
      <c r="B476" s="13" t="str">
        <f t="shared" si="59"/>
        <v/>
      </c>
      <c r="C476" s="13" t="str">
        <f t="shared" si="60"/>
        <v/>
      </c>
      <c r="D476" s="13" t="str">
        <f t="shared" si="56"/>
        <v/>
      </c>
      <c r="E476" s="13" t="str">
        <f t="shared" si="63"/>
        <v/>
      </c>
      <c r="F476" s="13" t="str">
        <f t="shared" si="61"/>
        <v/>
      </c>
      <c r="H476" s="5" t="str">
        <f t="shared" si="62"/>
        <v/>
      </c>
      <c r="I476" s="1" t="str">
        <f t="shared" si="57"/>
        <v/>
      </c>
    </row>
    <row r="477" spans="1:9" x14ac:dyDescent="0.25">
      <c r="A477" s="12" t="str">
        <f t="shared" si="58"/>
        <v/>
      </c>
      <c r="B477" s="13" t="str">
        <f t="shared" si="59"/>
        <v/>
      </c>
      <c r="C477" s="13" t="str">
        <f t="shared" si="60"/>
        <v/>
      </c>
      <c r="D477" s="13" t="str">
        <f t="shared" si="56"/>
        <v/>
      </c>
      <c r="E477" s="13" t="str">
        <f t="shared" si="63"/>
        <v/>
      </c>
      <c r="F477" s="13" t="str">
        <f t="shared" si="61"/>
        <v/>
      </c>
      <c r="H477" s="5" t="str">
        <f t="shared" si="62"/>
        <v/>
      </c>
      <c r="I477" s="1" t="str">
        <f t="shared" si="57"/>
        <v/>
      </c>
    </row>
    <row r="478" spans="1:9" x14ac:dyDescent="0.25">
      <c r="A478" s="12" t="str">
        <f t="shared" si="58"/>
        <v/>
      </c>
      <c r="B478" s="13" t="str">
        <f t="shared" si="59"/>
        <v/>
      </c>
      <c r="C478" s="13" t="str">
        <f t="shared" si="60"/>
        <v/>
      </c>
      <c r="D478" s="13" t="str">
        <f t="shared" si="56"/>
        <v/>
      </c>
      <c r="E478" s="13" t="str">
        <f t="shared" si="63"/>
        <v/>
      </c>
      <c r="F478" s="13" t="str">
        <f t="shared" si="61"/>
        <v/>
      </c>
      <c r="H478" s="5" t="str">
        <f t="shared" si="62"/>
        <v/>
      </c>
      <c r="I478" s="1" t="str">
        <f t="shared" si="57"/>
        <v/>
      </c>
    </row>
    <row r="479" spans="1:9" x14ac:dyDescent="0.25">
      <c r="A479" s="12" t="str">
        <f t="shared" si="58"/>
        <v/>
      </c>
      <c r="B479" s="13" t="str">
        <f t="shared" si="59"/>
        <v/>
      </c>
      <c r="C479" s="13" t="str">
        <f t="shared" si="60"/>
        <v/>
      </c>
      <c r="D479" s="13" t="str">
        <f t="shared" si="56"/>
        <v/>
      </c>
      <c r="E479" s="13" t="str">
        <f t="shared" si="63"/>
        <v/>
      </c>
      <c r="F479" s="13" t="str">
        <f t="shared" si="61"/>
        <v/>
      </c>
      <c r="H479" s="5" t="str">
        <f t="shared" si="62"/>
        <v/>
      </c>
      <c r="I479" s="1" t="str">
        <f t="shared" si="57"/>
        <v/>
      </c>
    </row>
    <row r="480" spans="1:9" x14ac:dyDescent="0.25">
      <c r="A480" s="12" t="str">
        <f t="shared" si="58"/>
        <v/>
      </c>
      <c r="B480" s="13" t="str">
        <f t="shared" si="59"/>
        <v/>
      </c>
      <c r="C480" s="13" t="str">
        <f t="shared" si="60"/>
        <v/>
      </c>
      <c r="D480" s="13" t="str">
        <f t="shared" si="56"/>
        <v/>
      </c>
      <c r="E480" s="13" t="str">
        <f t="shared" si="63"/>
        <v/>
      </c>
      <c r="F480" s="13" t="str">
        <f t="shared" si="61"/>
        <v/>
      </c>
      <c r="H480" s="5" t="str">
        <f t="shared" si="62"/>
        <v/>
      </c>
      <c r="I480" s="1" t="str">
        <f t="shared" si="57"/>
        <v/>
      </c>
    </row>
    <row r="481" spans="1:9" x14ac:dyDescent="0.25">
      <c r="A481" s="12" t="str">
        <f t="shared" si="58"/>
        <v/>
      </c>
      <c r="B481" s="13" t="str">
        <f t="shared" si="59"/>
        <v/>
      </c>
      <c r="C481" s="13" t="str">
        <f t="shared" si="60"/>
        <v/>
      </c>
      <c r="D481" s="13" t="str">
        <f t="shared" si="56"/>
        <v/>
      </c>
      <c r="E481" s="13" t="str">
        <f t="shared" si="63"/>
        <v/>
      </c>
      <c r="F481" s="13" t="str">
        <f t="shared" si="61"/>
        <v/>
      </c>
      <c r="H481" s="5" t="str">
        <f t="shared" si="62"/>
        <v/>
      </c>
      <c r="I481" s="1" t="str">
        <f t="shared" si="57"/>
        <v/>
      </c>
    </row>
    <row r="482" spans="1:9" x14ac:dyDescent="0.25">
      <c r="A482" s="12" t="str">
        <f t="shared" si="58"/>
        <v/>
      </c>
      <c r="B482" s="13" t="str">
        <f t="shared" si="59"/>
        <v/>
      </c>
      <c r="C482" s="13" t="str">
        <f t="shared" si="60"/>
        <v/>
      </c>
      <c r="D482" s="13" t="str">
        <f t="shared" si="56"/>
        <v/>
      </c>
      <c r="E482" s="13" t="str">
        <f t="shared" si="63"/>
        <v/>
      </c>
      <c r="F482" s="13" t="str">
        <f t="shared" si="61"/>
        <v/>
      </c>
      <c r="H482" s="5" t="str">
        <f t="shared" si="62"/>
        <v/>
      </c>
      <c r="I482" s="1" t="str">
        <f t="shared" si="57"/>
        <v/>
      </c>
    </row>
    <row r="483" spans="1:9" x14ac:dyDescent="0.25">
      <c r="A483" s="12" t="str">
        <f t="shared" si="58"/>
        <v/>
      </c>
      <c r="B483" s="13" t="str">
        <f t="shared" si="59"/>
        <v/>
      </c>
      <c r="C483" s="13" t="str">
        <f t="shared" si="60"/>
        <v/>
      </c>
      <c r="D483" s="13" t="str">
        <f t="shared" si="56"/>
        <v/>
      </c>
      <c r="E483" s="13" t="str">
        <f t="shared" si="63"/>
        <v/>
      </c>
      <c r="F483" s="13" t="str">
        <f t="shared" si="61"/>
        <v/>
      </c>
      <c r="H483" s="5" t="str">
        <f t="shared" si="62"/>
        <v/>
      </c>
      <c r="I483" s="1" t="str">
        <f t="shared" si="57"/>
        <v/>
      </c>
    </row>
    <row r="484" spans="1:9" x14ac:dyDescent="0.25">
      <c r="A484" s="12" t="str">
        <f t="shared" si="58"/>
        <v/>
      </c>
      <c r="B484" s="13" t="str">
        <f t="shared" si="59"/>
        <v/>
      </c>
      <c r="C484" s="13" t="str">
        <f t="shared" si="60"/>
        <v/>
      </c>
      <c r="D484" s="13" t="str">
        <f t="shared" si="56"/>
        <v/>
      </c>
      <c r="E484" s="13" t="str">
        <f t="shared" si="63"/>
        <v/>
      </c>
      <c r="F484" s="13" t="str">
        <f t="shared" si="61"/>
        <v/>
      </c>
      <c r="H484" s="5" t="str">
        <f t="shared" si="62"/>
        <v/>
      </c>
      <c r="I484" s="1" t="str">
        <f t="shared" si="57"/>
        <v/>
      </c>
    </row>
    <row r="485" spans="1:9" x14ac:dyDescent="0.25">
      <c r="A485" s="12" t="str">
        <f t="shared" si="58"/>
        <v/>
      </c>
      <c r="B485" s="13" t="str">
        <f t="shared" si="59"/>
        <v/>
      </c>
      <c r="C485" s="13" t="str">
        <f t="shared" si="60"/>
        <v/>
      </c>
      <c r="D485" s="13" t="str">
        <f t="shared" si="56"/>
        <v/>
      </c>
      <c r="E485" s="13" t="str">
        <f t="shared" si="63"/>
        <v/>
      </c>
      <c r="F485" s="13" t="str">
        <f t="shared" si="61"/>
        <v/>
      </c>
      <c r="H485" s="5" t="str">
        <f t="shared" si="62"/>
        <v/>
      </c>
      <c r="I485" s="1" t="str">
        <f t="shared" si="57"/>
        <v/>
      </c>
    </row>
  </sheetData>
  <sheetProtection password="9C17" sheet="1"/>
  <protectedRanges>
    <protectedRange sqref="B6:B7" name="Rango3"/>
    <protectedRange sqref="B3 B4:C7 B8 B9 B10" name="Rango1"/>
    <protectedRange sqref="H5:I9" name="Rango2"/>
  </protectedRanges>
  <mergeCells count="1">
    <mergeCell ref="B3:F3"/>
  </mergeCells>
  <pageMargins left="0.7" right="0.7" top="0.75" bottom="0.75" header="0.3" footer="0.3"/>
  <pageSetup paperSize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CUADRO</vt:lpstr>
    </vt:vector>
  </TitlesOfParts>
  <Company>BBVA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SOLIS LOPEZ ,RAFAEL</dc:creator>
  <cp:lastModifiedBy>SOLIS LOPEZ ,RAFAEL</cp:lastModifiedBy>
  <dcterms:created xsi:type="dcterms:W3CDTF">2018-10-04T12:19:12Z</dcterms:created>
  <dcterms:modified xsi:type="dcterms:W3CDTF">2018-10-15T15:00:58Z</dcterms:modified>
</cp:coreProperties>
</file>