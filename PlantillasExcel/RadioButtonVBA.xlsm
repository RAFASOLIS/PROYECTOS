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8960" windowHeight="9375"/>
  </bookViews>
  <sheets>
    <sheet name="CARATULA" sheetId="1" r:id="rId1"/>
    <sheet name="RELACION_DRIVE" sheetId="2" r:id="rId2"/>
    <sheet name="Apoyo" sheetId="3" r:id="rId3"/>
  </sheets>
  <externalReferences>
    <externalReference r:id="rId4"/>
  </externalReferences>
  <definedNames>
    <definedName name="_xlnm.Print_Area" localSheetId="0">CARATULA!$A$1:$Q$96</definedName>
    <definedName name="_xlnm.Print_Area" localSheetId="1">RELACION_DRIVE!$A:$R</definedName>
  </definedNames>
  <calcPr calcId="145621"/>
</workbook>
</file>

<file path=xl/calcChain.xml><?xml version="1.0" encoding="utf-8"?>
<calcChain xmlns="http://schemas.openxmlformats.org/spreadsheetml/2006/main">
  <c r="F55" i="1" l="1"/>
  <c r="C16" i="1"/>
  <c r="G51" i="1"/>
  <c r="G52" i="1"/>
  <c r="F8" i="1"/>
  <c r="F47" i="1" l="1"/>
  <c r="O16" i="1" s="1"/>
  <c r="R16" i="1" s="1"/>
  <c r="B68" i="1"/>
  <c r="B70" i="1" l="1"/>
  <c r="N2" i="2"/>
  <c r="M2" i="2"/>
  <c r="H2" i="2" l="1"/>
  <c r="G2" i="2"/>
  <c r="A2" i="2"/>
  <c r="L2" i="2"/>
  <c r="K2" i="2"/>
  <c r="P2" i="2"/>
  <c r="J2" i="2"/>
  <c r="I2" i="2"/>
  <c r="F2" i="2"/>
  <c r="E2" i="2"/>
  <c r="B2" i="2"/>
  <c r="D2" i="2"/>
  <c r="C2" i="2"/>
  <c r="Q2" i="2" l="1"/>
  <c r="R2" i="2" s="1"/>
  <c r="O2" i="2"/>
</calcChain>
</file>

<file path=xl/sharedStrings.xml><?xml version="1.0" encoding="utf-8"?>
<sst xmlns="http://schemas.openxmlformats.org/spreadsheetml/2006/main" count="102" uniqueCount="89">
  <si>
    <t>Destino:</t>
  </si>
  <si>
    <t>Fecha</t>
  </si>
  <si>
    <t/>
  </si>
  <si>
    <t>Pagar Factura de Procurador</t>
  </si>
  <si>
    <t xml:space="preserve">Pagar Factura de Letrado Externo </t>
  </si>
  <si>
    <t>Cancelación Anticipo Procurador</t>
  </si>
  <si>
    <t xml:space="preserve">Transferencia a Juzgados </t>
  </si>
  <si>
    <t>Detalle de partidas</t>
  </si>
  <si>
    <t>Factura L.Interno</t>
  </si>
  <si>
    <t>Total €</t>
  </si>
  <si>
    <t>Suplidos</t>
  </si>
  <si>
    <t>Derechos</t>
  </si>
  <si>
    <t>1-IRPF</t>
  </si>
  <si>
    <t>2-IRPF</t>
  </si>
  <si>
    <t>3-IRPF</t>
  </si>
  <si>
    <t>DNI_demandado</t>
  </si>
  <si>
    <t>Unidad</t>
  </si>
  <si>
    <t>contrapartida</t>
  </si>
  <si>
    <t>folio</t>
  </si>
  <si>
    <t>depen</t>
  </si>
  <si>
    <t>Pago de tasas y / o registro</t>
  </si>
  <si>
    <t>CECO CONTABLE</t>
  </si>
  <si>
    <t xml:space="preserve">CTA CONTABLE </t>
  </si>
  <si>
    <t>OP-PLUS</t>
  </si>
  <si>
    <t>Profesional</t>
  </si>
  <si>
    <t>Nombre y Apellidos</t>
  </si>
  <si>
    <t>NIF/CIF</t>
  </si>
  <si>
    <t>NIF/CIF Profesional</t>
  </si>
  <si>
    <t>calificacion
contable</t>
  </si>
  <si>
    <t>INSTRUCCIONES PARA PAGOS A PROFESIONALES LETRADOS Y PROCURADORES</t>
  </si>
  <si>
    <t>Id_procedimiento</t>
  </si>
  <si>
    <t>Imp_Pendiente_de_
pago_ajustado 
(Derechos)</t>
  </si>
  <si>
    <t>0060-4600</t>
  </si>
  <si>
    <t>Campaña Fallido</t>
  </si>
  <si>
    <t>Derechos + Suplidos</t>
  </si>
  <si>
    <t>Imp_Pendiente_de_pago_ajustado_GPS 
(Derechos + IVA - IVA repercutido)</t>
  </si>
  <si>
    <t>TOTAL FACTURA PROF 
(DERECHOS 
+ SUPLIDOS + IVA)</t>
  </si>
  <si>
    <t>LETRADO
PROCURADOR</t>
  </si>
  <si>
    <t>FECHA</t>
  </si>
  <si>
    <t>Imp_Pendiente_
de_pago_ajustado
_con IVA 
(Derechos + IVA)</t>
  </si>
  <si>
    <t>GPS: 32547035</t>
  </si>
  <si>
    <t xml:space="preserve">EL GASTO SE IMPUTARÁ SOBRE LA CUENTA DE MORA </t>
  </si>
  <si>
    <t>EL GASTO SE IMPUTARÁ SOBRE LA CUENTA</t>
  </si>
  <si>
    <t xml:space="preserve">    Sí, está pendiente</t>
  </si>
  <si>
    <t xml:space="preserve">    Indique por favor el importe de la condena en costas</t>
  </si>
  <si>
    <t xml:space="preserve">    IVA</t>
  </si>
  <si>
    <t xml:space="preserve">    IGIC</t>
  </si>
  <si>
    <t>Pago Cédula Habitabilidad (Solo C.E.R. Catalunya / Barcelona)</t>
  </si>
  <si>
    <t>** (M) Mora; (T) Total ; (S) Suspenso; (F)Fallido</t>
  </si>
  <si>
    <t xml:space="preserve">**** Instrucciones al Reverso: </t>
  </si>
  <si>
    <t>Cuándo hay que realizar el Cargo</t>
  </si>
  <si>
    <t xml:space="preserve"> en Cuenta de Mora o en Cuenta Contable</t>
  </si>
  <si>
    <t>Factura procurador/L.Externo</t>
  </si>
  <si>
    <t>Pagar Factura de Letrado Interno</t>
  </si>
  <si>
    <t>V10_3</t>
  </si>
  <si>
    <t>Fecha Valor</t>
  </si>
  <si>
    <t>Unidad de Gestión</t>
  </si>
  <si>
    <t>Gestor</t>
  </si>
  <si>
    <t>Cuenta de mora</t>
  </si>
  <si>
    <t>Id procedimiento judicial</t>
  </si>
  <si>
    <t>Tipos de instrucción</t>
  </si>
  <si>
    <t>Datos del Profesional</t>
  </si>
  <si>
    <t>Tipo de instrucción</t>
  </si>
  <si>
    <t>Seleccione el tipo de instrucción que desea cursar</t>
  </si>
  <si>
    <t>Importe</t>
  </si>
  <si>
    <t xml:space="preserve">Datos adicionales </t>
  </si>
  <si>
    <t>NIF/CIF del Demandado</t>
  </si>
  <si>
    <t>Complete la solicitud con los siguientes datos adicionales</t>
  </si>
  <si>
    <t>Calificación contable de la cuenta de mora</t>
  </si>
  <si>
    <r>
      <t>Pertenece a la campaña de Fallidos (</t>
    </r>
    <r>
      <rPr>
        <b/>
        <sz val="10"/>
        <color theme="1"/>
        <rFont val="Calibri"/>
        <family val="2"/>
        <scheme val="minor"/>
      </rPr>
      <t>SI/NO)</t>
    </r>
    <r>
      <rPr>
        <b/>
        <sz val="12"/>
        <color theme="1"/>
        <rFont val="Calibri"/>
        <family val="2"/>
        <scheme val="minor"/>
      </rPr>
      <t>:</t>
    </r>
  </si>
  <si>
    <t>Información sobre la situación del procedimiento</t>
  </si>
  <si>
    <t xml:space="preserve">
</t>
  </si>
  <si>
    <t>(Instrucciones en el reverso de la carátula)</t>
  </si>
  <si>
    <t>Banco</t>
  </si>
  <si>
    <t>Oficina</t>
  </si>
  <si>
    <t>Contrap.</t>
  </si>
  <si>
    <t>Folio</t>
  </si>
  <si>
    <t>Depen</t>
  </si>
  <si>
    <t>PYG: 32547034</t>
  </si>
  <si>
    <t>Anticipo de Procurador</t>
  </si>
  <si>
    <t>PYG</t>
  </si>
  <si>
    <t>GPS</t>
  </si>
  <si>
    <t>E019099-Daniel.Montoya@Opplus.bbva.com</t>
  </si>
  <si>
    <t xml:space="preserve">    No, ya hay resolución firme de Tasación de Costas y el importe de la factura es superior a la misma</t>
  </si>
  <si>
    <t>¿Está pendiente la resolución firme de Tasación de Costas?</t>
  </si>
  <si>
    <t xml:space="preserve">   PyG</t>
  </si>
  <si>
    <t>Elegir Opciones</t>
  </si>
  <si>
    <t xml:space="preserve">    No, ya hay resolución firme de Tasación de Costas, y el importe de la factura es inferior/igual a la misma</t>
  </si>
  <si>
    <r>
      <rPr>
        <b/>
        <sz val="12"/>
        <color theme="3" tint="0.39997558519241921"/>
        <rFont val="Calibri"/>
        <family val="2"/>
        <scheme val="minor"/>
      </rPr>
      <t xml:space="preserve">
</t>
    </r>
    <r>
      <rPr>
        <b/>
        <sz val="14"/>
        <color theme="3" tint="0.39997558519241921"/>
        <rFont val="Calibri"/>
        <family val="2"/>
        <scheme val="minor"/>
      </rPr>
      <t xml:space="preserve">    Concepto de “Resolución firme de condena en costas”: </t>
    </r>
    <r>
      <rPr>
        <b/>
        <sz val="12"/>
        <color theme="3" tint="0.39997558519241921"/>
        <rFont val="Calibri"/>
        <family val="2"/>
        <scheme val="minor"/>
      </rPr>
      <t xml:space="preserve">
</t>
    </r>
    <r>
      <rPr>
        <sz val="9"/>
        <rFont val="Calibri"/>
        <family val="2"/>
        <scheme val="minor"/>
      </rPr>
      <t xml:space="preserve">Esta se producirá cuanto tengamos cualquier tipo de resolución judicial firme que así lo establezca, dependiendo de la tipología de procedimiento: 
o   Ejecución de Titulo No Judicial (ETNJ), Ejecución de Título Judicial (ETJ), cambiario o hipotecario: se considera que hay condena en costas una vez transcurrido el plazo de oposición, diez días, sin que haya pagado o se haya opuesto. (artículo 583 LEC y 821 LEC). 
o   Declarativo (ordinarios): se considera que se produce la condena en costas con la sentencia firme, sin necesidad de pedir tasación de costas, con independencia de que haya que practicarla para ver qué importe se puede repercutir al deudor, mediante el cargo en la cuenta de mora.
o    Ejecutivos o hipotecarios con oposición: se produciría la condena en costas con la firmeza de la resolución del incidente/recurso u oposición, con independencia de que haya que practicarla para ver qué importe se puede repercutir al deudor, mediante el cargo en la cuenta de mora.
o En el caso de los monitorios o declarativos verbales civiles, se excluye la condena en costas, por no ser preceptiva la intervención de abogado y procurador.
</t>
    </r>
    <r>
      <rPr>
        <sz val="11"/>
        <color theme="3" tint="0.39997558519241921"/>
        <rFont val="Calibri"/>
        <family val="2"/>
        <scheme val="minor"/>
      </rPr>
      <t xml:space="preserve">
</t>
    </r>
    <r>
      <rPr>
        <b/>
        <sz val="11"/>
        <color theme="3" tint="0.39997558519241921"/>
        <rFont val="Calibri"/>
        <family val="2"/>
        <scheme val="minor"/>
      </rPr>
      <t>CONCLUSIÓN:</t>
    </r>
    <r>
      <rPr>
        <sz val="9"/>
        <rFont val="Calibri"/>
        <family val="2"/>
        <scheme val="minor"/>
      </rPr>
      <t xml:space="preserve">
1.     Como criterio general, no se podrá cargar en la cuenta de mora del cliente los gastos procesales legalmente imputables, hasta que no tengamos un conocimiento pleno del importe exacto de las costas definitivas. Por ello se decide que solo se cargarán en cuentas de mora cuando la tasación de costas sea firme y por el importe y el desglose exacto que se indique en las mismas.
2.     En los casos en los que se haya producido la condena en costas, pero todavía no se hayan tasado las mismas, o no sean firmes, y se esté negociando extrajudicialmente la deuda, los gastos procesales (derechos y suplidos de procurador y honorarios de letrado) se podrán incluir en la negociación, no cargándolos en la cuenta de mora hasta la firma del acuerdo extrajudicial, y sólo por el importe acordado con el deudor. 
       </t>
    </r>
    <r>
      <rPr>
        <b/>
        <sz val="12"/>
        <color theme="3" tint="0.39997558519241921"/>
        <rFont val="Calibri"/>
        <family val="2"/>
        <scheme val="minor"/>
      </rPr>
      <t xml:space="preserve"> Caso especial  Facturas Letrado y Procurador por importe superior a lo aprobado en Tasación de Costas Definitiva.</t>
    </r>
    <r>
      <rPr>
        <sz val="9"/>
        <rFont val="Calibri"/>
        <family val="2"/>
        <scheme val="minor"/>
      </rPr>
      <t xml:space="preserve">
En este supuesto el gestor judicial habrá de cumplimentar dos carátulas:
• La nueva carátula marcando la opción cargo en cuenta de mora SI e incorporando el importe correspondiente a lo aprobado en Tasación de Costas
• La carátula de cargo a PyG para el resto importe de facturas y no contemplado en la Tasación de Costas definitivas
</t>
    </r>
    <r>
      <rPr>
        <b/>
        <sz val="9"/>
        <color theme="3" tint="0.39997558519241921"/>
        <rFont val="Calibri"/>
        <family val="2"/>
        <scheme val="minor"/>
      </rPr>
      <t xml:space="preserve">
</t>
    </r>
    <r>
      <rPr>
        <b/>
        <sz val="11"/>
        <color theme="3" tint="0.39997558519241921"/>
        <rFont val="Calibri"/>
        <family val="2"/>
        <scheme val="minor"/>
      </rPr>
      <t>CONCLUSIÓN:</t>
    </r>
    <r>
      <rPr>
        <sz val="9"/>
        <rFont val="Calibri"/>
        <family val="2"/>
        <scheme val="minor"/>
      </rPr>
      <t xml:space="preserve">
Se acompañarán dos carátulas con una única factura . No se podrá cargar en cuenta de mora los importes que sobrepasen lo aprobado en Tasación de Costas.
  </t>
    </r>
    <r>
      <rPr>
        <sz val="9"/>
        <color theme="3" tint="0.39997558519241921"/>
        <rFont val="Calibri"/>
        <family val="2"/>
        <scheme val="minor"/>
      </rPr>
      <t xml:space="preserve">      </t>
    </r>
    <r>
      <rPr>
        <b/>
        <sz val="12"/>
        <color theme="3" tint="0.39997558519241921"/>
        <rFont val="Calibri"/>
        <family val="2"/>
        <scheme val="minor"/>
      </rPr>
      <t>Caso especial del beneficio de justicia gratuita</t>
    </r>
    <r>
      <rPr>
        <sz val="9"/>
        <rFont val="Calibri"/>
        <family val="2"/>
        <scheme val="minor"/>
      </rPr>
      <t xml:space="preserve">
Cuando a un deudor se le haya concedido el beneficio de justicia gratuita, aunque sea condenado en costas, sean firmes y se hayan tasado, no podrán ser reclamadas al deudor salvo en los casos de mejor fortuna dentro de los tres años posteriores al momento de la firmeza de la tasación de costas. 
</t>
    </r>
    <r>
      <rPr>
        <sz val="11"/>
        <color theme="3" tint="0.39997558519241921"/>
        <rFont val="Calibri"/>
        <family val="2"/>
        <scheme val="minor"/>
      </rPr>
      <t xml:space="preserve">
</t>
    </r>
    <r>
      <rPr>
        <b/>
        <sz val="11"/>
        <color theme="3" tint="0.39997558519241921"/>
        <rFont val="Calibri"/>
        <family val="2"/>
        <scheme val="minor"/>
      </rPr>
      <t>CONCLUSIÓN</t>
    </r>
    <r>
      <rPr>
        <sz val="9"/>
        <rFont val="Calibri"/>
        <family val="2"/>
        <scheme val="minor"/>
      </rPr>
      <t xml:space="preserve">
•       No se podrá cargar en la cuenta de mora del cliente estos gastos procesales, hasta que no se decrete la mejor fortuna del beneficiario de la justicia gratuita, en el tiempo establecido para ello. Pasado ese tiempo sin que se haya producido ese hito, no se podrá exigir al cliente su pago, sin posibilidad de imputación definitiva en la cuenta de mora.
•       Solo en los casos que exista mejor fortuna, en el tiempo establecido, se podrá cargar en la cuenta de mora, según criterios generales.
</t>
    </r>
  </si>
</sst>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 _€_-;\-* #,##0.00\ _€_-;_-* &quot;-&quot;??\ _€_-;_-@_-"/>
    <numFmt numFmtId="164" formatCode="0000/00000000"/>
    <numFmt numFmtId="165" formatCode="0000"/>
    <numFmt numFmtId="166" formatCode="00000000000000"/>
    <numFmt numFmtId="167" formatCode="000000000"/>
    <numFmt numFmtId="168" formatCode="00000000"/>
  </numFmts>
  <fonts count="44" x14ac:knownFonts="1">
    <font>
      <sz val="11"/>
      <color theme="1"/>
      <name val="Calibri"/>
      <family val="2"/>
      <scheme val="minor"/>
    </font>
    <font>
      <sz val="11"/>
      <color rgb="FF094FA4"/>
      <name val="Calibri"/>
      <family val="2"/>
      <scheme val="minor"/>
    </font>
    <font>
      <sz val="9"/>
      <color theme="1"/>
      <name val="Calibri"/>
      <family val="2"/>
      <scheme val="minor"/>
    </font>
    <font>
      <sz val="9"/>
      <name val="Calibri"/>
      <family val="2"/>
      <scheme val="minor"/>
    </font>
    <font>
      <sz val="9"/>
      <color theme="0"/>
      <name val="Calibri"/>
      <family val="2"/>
      <scheme val="minor"/>
    </font>
    <font>
      <b/>
      <sz val="9"/>
      <name val="Calibri"/>
      <family val="2"/>
      <scheme val="minor"/>
    </font>
    <font>
      <b/>
      <sz val="9"/>
      <color indexed="9"/>
      <name val="Calibri"/>
      <family val="2"/>
      <scheme val="minor"/>
    </font>
    <font>
      <sz val="9"/>
      <color indexed="9"/>
      <name val="Calibri"/>
      <family val="2"/>
      <scheme val="minor"/>
    </font>
    <font>
      <b/>
      <sz val="9"/>
      <color theme="4" tint="-0.499984740745262"/>
      <name val="Calibri"/>
      <family val="2"/>
      <scheme val="minor"/>
    </font>
    <font>
      <b/>
      <sz val="9"/>
      <color theme="1"/>
      <name val="Calibri"/>
      <family val="2"/>
      <scheme val="minor"/>
    </font>
    <font>
      <b/>
      <sz val="12"/>
      <color theme="0"/>
      <name val="Calibri"/>
      <family val="2"/>
      <scheme val="minor"/>
    </font>
    <font>
      <b/>
      <sz val="10"/>
      <name val="Calibri"/>
      <family val="2"/>
      <scheme val="minor"/>
    </font>
    <font>
      <sz val="10"/>
      <name val="Calibri"/>
      <family val="2"/>
      <scheme val="minor"/>
    </font>
    <font>
      <b/>
      <sz val="12"/>
      <name val="Calibri"/>
      <family val="2"/>
      <scheme val="minor"/>
    </font>
    <font>
      <sz val="12"/>
      <name val="Calibri"/>
      <family val="2"/>
      <scheme val="minor"/>
    </font>
    <font>
      <b/>
      <sz val="10"/>
      <color theme="1"/>
      <name val="Calibri"/>
      <family val="2"/>
      <scheme val="minor"/>
    </font>
    <font>
      <b/>
      <sz val="12"/>
      <color theme="4" tint="-0.499984740745262"/>
      <name val="Calibri"/>
      <family val="2"/>
      <scheme val="minor"/>
    </font>
    <font>
      <b/>
      <sz val="12"/>
      <color theme="1"/>
      <name val="Calibri"/>
      <family val="2"/>
      <scheme val="minor"/>
    </font>
    <font>
      <sz val="12"/>
      <color theme="1"/>
      <name val="Calibri"/>
      <family val="2"/>
      <scheme val="minor"/>
    </font>
    <font>
      <sz val="12"/>
      <color indexed="9"/>
      <name val="Calibri"/>
      <family val="2"/>
      <scheme val="minor"/>
    </font>
    <font>
      <b/>
      <sz val="12"/>
      <color theme="3" tint="-0.499984740745262"/>
      <name val="Calibri"/>
      <family val="2"/>
      <scheme val="minor"/>
    </font>
    <font>
      <b/>
      <sz val="14"/>
      <name val="Calibri"/>
      <family val="2"/>
      <scheme val="minor"/>
    </font>
    <font>
      <sz val="14"/>
      <name val="Calibri"/>
      <family val="2"/>
      <scheme val="minor"/>
    </font>
    <font>
      <b/>
      <sz val="6"/>
      <name val="Calibri"/>
      <family val="2"/>
      <scheme val="minor"/>
    </font>
    <font>
      <b/>
      <sz val="14"/>
      <color theme="8" tint="-0.499984740745262"/>
      <name val="Calibri"/>
      <family val="2"/>
      <scheme val="minor"/>
    </font>
    <font>
      <b/>
      <sz val="14"/>
      <color theme="4"/>
      <name val="Calibri"/>
      <family val="2"/>
      <scheme val="minor"/>
    </font>
    <font>
      <b/>
      <sz val="12"/>
      <color theme="4" tint="0.79998168889431442"/>
      <name val="Calibri"/>
      <family val="2"/>
      <scheme val="minor"/>
    </font>
    <font>
      <sz val="11"/>
      <color rgb="FF000000"/>
      <name val="Calibri"/>
      <family val="2"/>
    </font>
    <font>
      <sz val="12"/>
      <color theme="0"/>
      <name val="Calibri"/>
      <family val="2"/>
      <scheme val="minor"/>
    </font>
    <font>
      <u/>
      <sz val="11"/>
      <color theme="10"/>
      <name val="Calibri"/>
      <family val="2"/>
      <scheme val="minor"/>
    </font>
    <font>
      <b/>
      <sz val="9"/>
      <color theme="3" tint="0.39997558519241921"/>
      <name val="Calibri"/>
      <family val="2"/>
      <scheme val="minor"/>
    </font>
    <font>
      <b/>
      <sz val="14"/>
      <color theme="3" tint="0.39997558519241921"/>
      <name val="Calibri"/>
      <family val="2"/>
      <scheme val="minor"/>
    </font>
    <font>
      <b/>
      <sz val="12"/>
      <color theme="3" tint="0.39997558519241921"/>
      <name val="Calibri"/>
      <family val="2"/>
      <scheme val="minor"/>
    </font>
    <font>
      <b/>
      <sz val="11"/>
      <color theme="3" tint="0.39997558519241921"/>
      <name val="Calibri"/>
      <family val="2"/>
      <scheme val="minor"/>
    </font>
    <font>
      <sz val="9"/>
      <color theme="3" tint="0.39997558519241921"/>
      <name val="Calibri"/>
      <family val="2"/>
      <scheme val="minor"/>
    </font>
    <font>
      <sz val="11"/>
      <color theme="3" tint="0.39997558519241921"/>
      <name val="Calibri"/>
      <family val="2"/>
      <scheme val="minor"/>
    </font>
    <font>
      <b/>
      <sz val="11"/>
      <name val="Calibri"/>
      <family val="2"/>
      <scheme val="minor"/>
    </font>
    <font>
      <sz val="12"/>
      <color rgb="FFFF0000"/>
      <name val="Calibri"/>
      <family val="2"/>
      <scheme val="minor"/>
    </font>
    <font>
      <sz val="12"/>
      <color theme="3" tint="0.79998168889431442"/>
      <name val="Calibri"/>
      <family val="2"/>
      <scheme val="minor"/>
    </font>
    <font>
      <sz val="12"/>
      <color theme="4" tint="-0.499984740745262"/>
      <name val="Calibri"/>
      <family val="2"/>
      <scheme val="minor"/>
    </font>
    <font>
      <sz val="11"/>
      <name val="Calibri"/>
      <family val="2"/>
      <scheme val="minor"/>
    </font>
    <font>
      <sz val="16"/>
      <color theme="1"/>
      <name val="Calibri"/>
      <family val="2"/>
      <scheme val="minor"/>
    </font>
    <font>
      <sz val="16"/>
      <name val="Calibri"/>
      <family val="2"/>
      <scheme val="minor"/>
    </font>
    <font>
      <b/>
      <sz val="16"/>
      <color theme="3" tint="-0.499984740745262"/>
      <name val="Calibri"/>
      <family val="2"/>
      <scheme val="minor"/>
    </font>
  </fonts>
  <fills count="11">
    <fill>
      <patternFill patternType="none"/>
    </fill>
    <fill>
      <patternFill patternType="gray125"/>
    </fill>
    <fill>
      <patternFill patternType="solid">
        <fgColor indexed="9"/>
        <bgColor indexed="64"/>
      </patternFill>
    </fill>
    <fill>
      <patternFill patternType="solid">
        <fgColor theme="2" tint="-9.9978637043366805E-2"/>
        <bgColor indexed="64"/>
      </patternFill>
    </fill>
    <fill>
      <patternFill patternType="solid">
        <fgColor theme="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tint="-0.249977111117893"/>
        <bgColor indexed="64"/>
      </patternFill>
    </fill>
  </fills>
  <borders count="42">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thin">
        <color indexed="64"/>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3" tint="-0.499984740745262"/>
      </left>
      <right/>
      <top style="medium">
        <color theme="3" tint="-0.499984740745262"/>
      </top>
      <bottom style="medium">
        <color theme="3" tint="-0.499984740745262"/>
      </bottom>
      <diagonal/>
    </border>
    <border>
      <left/>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s>
  <cellStyleXfs count="2">
    <xf numFmtId="0" fontId="0" fillId="0" borderId="0"/>
    <xf numFmtId="0" fontId="29" fillId="0" borderId="0" applyNumberFormat="0" applyFill="0" applyBorder="0" applyAlignment="0" applyProtection="0"/>
  </cellStyleXfs>
  <cellXfs count="246">
    <xf numFmtId="0" fontId="0" fillId="0" borderId="0" xfId="0"/>
    <xf numFmtId="2" fontId="0" fillId="0" borderId="0" xfId="0" applyNumberFormat="1"/>
    <xf numFmtId="0" fontId="0" fillId="0" borderId="0" xfId="0" applyAlignment="1">
      <alignment wrapText="1"/>
    </xf>
    <xf numFmtId="0" fontId="2" fillId="3" borderId="0" xfId="0" applyFont="1" applyFill="1" applyAlignment="1">
      <alignment horizontal="center" wrapText="1"/>
    </xf>
    <xf numFmtId="0" fontId="3" fillId="2" borderId="0" xfId="0" applyFont="1" applyFill="1" applyProtection="1"/>
    <xf numFmtId="0" fontId="3" fillId="4" borderId="0" xfId="0" applyFont="1" applyFill="1" applyBorder="1" applyProtection="1"/>
    <xf numFmtId="0" fontId="4" fillId="2" borderId="0" xfId="0" applyFont="1" applyFill="1" applyProtection="1"/>
    <xf numFmtId="0" fontId="5" fillId="2" borderId="0" xfId="0" applyFont="1" applyFill="1" applyProtection="1"/>
    <xf numFmtId="0" fontId="5" fillId="4" borderId="0" xfId="0" applyFont="1" applyFill="1" applyBorder="1" applyProtection="1"/>
    <xf numFmtId="0" fontId="5" fillId="4" borderId="0" xfId="0" applyFont="1" applyFill="1" applyProtection="1"/>
    <xf numFmtId="0" fontId="3" fillId="2" borderId="0" xfId="0" applyFont="1" applyFill="1" applyBorder="1" applyProtection="1"/>
    <xf numFmtId="0" fontId="3" fillId="2" borderId="0" xfId="0" applyFont="1" applyFill="1" applyProtection="1">
      <protection locked="0"/>
    </xf>
    <xf numFmtId="0" fontId="5" fillId="4" borderId="0" xfId="0" applyFont="1" applyFill="1" applyBorder="1" applyAlignment="1" applyProtection="1">
      <alignment horizontal="center" vertical="center"/>
    </xf>
    <xf numFmtId="0" fontId="3" fillId="2" borderId="0" xfId="0" applyFont="1" applyFill="1" applyBorder="1" applyAlignment="1" applyProtection="1"/>
    <xf numFmtId="0" fontId="12" fillId="2" borderId="0" xfId="0" applyFont="1" applyFill="1" applyProtection="1"/>
    <xf numFmtId="0" fontId="14" fillId="2" borderId="0" xfId="0" applyFont="1" applyFill="1" applyProtection="1"/>
    <xf numFmtId="0" fontId="14" fillId="2" borderId="19" xfId="0" applyFont="1" applyFill="1" applyBorder="1" applyProtection="1"/>
    <xf numFmtId="0" fontId="14" fillId="2" borderId="21" xfId="0" applyFont="1" applyFill="1" applyBorder="1" applyProtection="1"/>
    <xf numFmtId="0" fontId="14" fillId="2" borderId="0" xfId="0" applyFont="1" applyFill="1" applyBorder="1" applyProtection="1"/>
    <xf numFmtId="0" fontId="14" fillId="2" borderId="23" xfId="0" applyFont="1" applyFill="1" applyBorder="1" applyProtection="1"/>
    <xf numFmtId="4" fontId="14" fillId="2" borderId="0" xfId="0" applyNumberFormat="1" applyFont="1" applyFill="1" applyBorder="1" applyProtection="1"/>
    <xf numFmtId="0" fontId="14" fillId="2" borderId="21" xfId="0" applyFont="1" applyFill="1" applyBorder="1" applyAlignment="1" applyProtection="1">
      <alignment vertical="center"/>
    </xf>
    <xf numFmtId="0" fontId="13" fillId="2" borderId="24" xfId="0" applyFont="1" applyFill="1" applyBorder="1" applyAlignment="1" applyProtection="1">
      <alignment vertical="center"/>
    </xf>
    <xf numFmtId="0" fontId="13" fillId="2" borderId="30" xfId="0" applyFont="1" applyFill="1" applyBorder="1" applyAlignment="1" applyProtection="1">
      <alignment vertical="center"/>
    </xf>
    <xf numFmtId="0" fontId="14" fillId="2" borderId="30" xfId="0" applyFont="1" applyFill="1" applyBorder="1" applyAlignment="1" applyProtection="1">
      <alignment vertical="center"/>
    </xf>
    <xf numFmtId="0" fontId="14" fillId="2" borderId="25" xfId="0" applyFont="1" applyFill="1" applyBorder="1" applyAlignment="1" applyProtection="1">
      <alignment vertical="center"/>
    </xf>
    <xf numFmtId="0" fontId="14" fillId="2" borderId="0" xfId="0" applyFont="1" applyFill="1" applyBorder="1" applyAlignment="1" applyProtection="1">
      <alignment vertical="center"/>
    </xf>
    <xf numFmtId="0" fontId="14" fillId="2" borderId="23" xfId="0" applyFont="1" applyFill="1" applyBorder="1" applyAlignment="1" applyProtection="1">
      <alignment vertical="center"/>
    </xf>
    <xf numFmtId="0" fontId="14" fillId="2" borderId="0" xfId="0" applyFont="1" applyFill="1" applyAlignment="1" applyProtection="1">
      <alignment vertical="center"/>
    </xf>
    <xf numFmtId="0" fontId="14" fillId="2" borderId="26" xfId="0" applyFont="1" applyFill="1" applyBorder="1" applyProtection="1"/>
    <xf numFmtId="0" fontId="14" fillId="2" borderId="27" xfId="0" applyFont="1" applyFill="1" applyBorder="1" applyProtection="1"/>
    <xf numFmtId="0" fontId="14" fillId="2" borderId="0" xfId="0" applyFont="1" applyFill="1" applyBorder="1" applyAlignment="1" applyProtection="1"/>
    <xf numFmtId="0" fontId="14" fillId="2" borderId="0" xfId="0" applyFont="1" applyFill="1" applyBorder="1" applyAlignment="1" applyProtection="1">
      <alignment horizontal="right"/>
    </xf>
    <xf numFmtId="0" fontId="14" fillId="2" borderId="28" xfId="0" applyFont="1" applyFill="1" applyBorder="1" applyProtection="1"/>
    <xf numFmtId="0" fontId="14" fillId="2" borderId="22" xfId="0" applyFont="1" applyFill="1" applyBorder="1" applyProtection="1"/>
    <xf numFmtId="0" fontId="14" fillId="2" borderId="22" xfId="0" applyFont="1" applyFill="1" applyBorder="1" applyAlignment="1" applyProtection="1"/>
    <xf numFmtId="0" fontId="14" fillId="2" borderId="29" xfId="0" applyFont="1" applyFill="1" applyBorder="1" applyProtection="1"/>
    <xf numFmtId="0" fontId="13" fillId="4" borderId="0" xfId="0" applyFont="1" applyFill="1" applyBorder="1" applyProtection="1"/>
    <xf numFmtId="0" fontId="13" fillId="4" borderId="0" xfId="0" applyFont="1" applyFill="1" applyBorder="1" applyAlignment="1" applyProtection="1">
      <alignment horizontal="left"/>
    </xf>
    <xf numFmtId="0" fontId="22" fillId="2" borderId="0" xfId="0" applyFont="1" applyFill="1" applyProtection="1"/>
    <xf numFmtId="0" fontId="8" fillId="4" borderId="0" xfId="0" applyFont="1" applyFill="1" applyBorder="1" applyAlignment="1" applyProtection="1">
      <alignment vertical="center" wrapText="1"/>
      <protection locked="0"/>
    </xf>
    <xf numFmtId="0" fontId="9" fillId="4" borderId="0" xfId="0" applyFont="1" applyFill="1" applyBorder="1" applyAlignment="1" applyProtection="1">
      <alignment horizontal="right" vertical="center" wrapText="1"/>
      <protection locked="0"/>
    </xf>
    <xf numFmtId="0" fontId="8" fillId="4" borderId="0" xfId="0" applyFont="1" applyFill="1" applyBorder="1" applyAlignment="1" applyProtection="1">
      <alignment horizontal="center" vertical="center" wrapText="1"/>
      <protection locked="0"/>
    </xf>
    <xf numFmtId="0" fontId="13" fillId="7" borderId="4" xfId="0" applyFont="1" applyFill="1" applyBorder="1" applyAlignment="1" applyProtection="1">
      <alignment horizontal="center"/>
    </xf>
    <xf numFmtId="0" fontId="24" fillId="4" borderId="0" xfId="0" applyFont="1" applyFill="1" applyBorder="1" applyAlignment="1" applyProtection="1">
      <alignment vertical="top"/>
    </xf>
    <xf numFmtId="0" fontId="25" fillId="4" borderId="0" xfId="0" applyFont="1" applyFill="1" applyBorder="1" applyAlignment="1" applyProtection="1">
      <alignment vertical="top"/>
    </xf>
    <xf numFmtId="0" fontId="28" fillId="2" borderId="0" xfId="0" applyFont="1" applyFill="1" applyProtection="1"/>
    <xf numFmtId="49" fontId="5" fillId="4" borderId="10" xfId="0" applyNumberFormat="1" applyFont="1" applyFill="1" applyBorder="1" applyAlignment="1" applyProtection="1">
      <alignment horizontal="center" vertical="center"/>
      <protection locked="0"/>
    </xf>
    <xf numFmtId="0" fontId="3" fillId="2" borderId="0" xfId="0" applyFont="1" applyFill="1" applyBorder="1" applyAlignment="1" applyProtection="1">
      <alignment wrapText="1"/>
    </xf>
    <xf numFmtId="0" fontId="3" fillId="2" borderId="30" xfId="0" applyFont="1" applyFill="1" applyBorder="1" applyAlignment="1" applyProtection="1">
      <alignment wrapText="1"/>
    </xf>
    <xf numFmtId="14" fontId="0" fillId="0" borderId="0" xfId="0" applyNumberFormat="1" applyAlignment="1">
      <alignment wrapText="1"/>
    </xf>
    <xf numFmtId="0" fontId="0" fillId="0" borderId="0" xfId="0" applyFont="1" applyAlignment="1">
      <alignment wrapText="1"/>
    </xf>
    <xf numFmtId="0" fontId="1" fillId="0" borderId="0" xfId="0" applyFont="1" applyAlignment="1">
      <alignment wrapText="1"/>
    </xf>
    <xf numFmtId="164" fontId="1" fillId="0" borderId="0" xfId="0" applyNumberFormat="1" applyFont="1" applyAlignment="1">
      <alignment wrapText="1"/>
    </xf>
    <xf numFmtId="168" fontId="0" fillId="0" borderId="0" xfId="0" applyNumberFormat="1" applyAlignment="1">
      <alignment wrapText="1"/>
    </xf>
    <xf numFmtId="165" fontId="0" fillId="0" borderId="0" xfId="0" applyNumberFormat="1" applyAlignment="1">
      <alignment wrapText="1"/>
    </xf>
    <xf numFmtId="166" fontId="0" fillId="0" borderId="0" xfId="0" applyNumberFormat="1" applyAlignment="1">
      <alignment wrapText="1"/>
    </xf>
    <xf numFmtId="167" fontId="0" fillId="0" borderId="0" xfId="0" applyNumberFormat="1" applyAlignment="1">
      <alignment wrapText="1"/>
    </xf>
    <xf numFmtId="2" fontId="0" fillId="0" borderId="0" xfId="0" applyNumberFormat="1" applyAlignment="1">
      <alignment wrapText="1"/>
    </xf>
    <xf numFmtId="4" fontId="0" fillId="0" borderId="0" xfId="0" applyNumberFormat="1" applyAlignment="1">
      <alignment wrapText="1"/>
    </xf>
    <xf numFmtId="0" fontId="14" fillId="2" borderId="0" xfId="0" quotePrefix="1" applyFont="1" applyFill="1" applyProtection="1"/>
    <xf numFmtId="0" fontId="0" fillId="0" borderId="0" xfId="0" applyNumberFormat="1" applyAlignment="1">
      <alignment wrapText="1"/>
    </xf>
    <xf numFmtId="0" fontId="3" fillId="4" borderId="0" xfId="0" applyFont="1" applyFill="1" applyBorder="1" applyAlignment="1" applyProtection="1">
      <alignment horizontal="right" vertical="top"/>
    </xf>
    <xf numFmtId="4" fontId="14" fillId="8" borderId="11" xfId="0" applyNumberFormat="1" applyFont="1" applyFill="1" applyBorder="1" applyAlignment="1" applyProtection="1">
      <alignment vertical="center"/>
      <protection locked="0"/>
    </xf>
    <xf numFmtId="0" fontId="37" fillId="2" borderId="26" xfId="0" applyFont="1" applyFill="1" applyBorder="1" applyProtection="1"/>
    <xf numFmtId="0" fontId="14" fillId="2" borderId="0" xfId="0" applyFont="1" applyFill="1" applyBorder="1" applyAlignment="1" applyProtection="1"/>
    <xf numFmtId="0" fontId="14" fillId="2" borderId="0" xfId="0" applyFont="1" applyFill="1" applyBorder="1" applyAlignment="1" applyProtection="1">
      <alignment horizontal="center"/>
    </xf>
    <xf numFmtId="0" fontId="3" fillId="2" borderId="0" xfId="0" applyFont="1" applyFill="1" applyBorder="1" applyAlignment="1" applyProtection="1">
      <alignment horizontal="left" wrapText="1"/>
    </xf>
    <xf numFmtId="0" fontId="38" fillId="2" borderId="0" xfId="0" applyFont="1" applyFill="1" applyProtection="1"/>
    <xf numFmtId="4" fontId="28" fillId="2" borderId="0" xfId="0" applyNumberFormat="1" applyFont="1" applyFill="1" applyProtection="1"/>
    <xf numFmtId="0" fontId="14" fillId="2" borderId="0" xfId="0" applyFont="1" applyFill="1" applyBorder="1" applyAlignment="1" applyProtection="1">
      <alignment horizontal="left"/>
    </xf>
    <xf numFmtId="14" fontId="12" fillId="4" borderId="10" xfId="0" applyNumberFormat="1" applyFont="1" applyFill="1" applyBorder="1" applyAlignment="1" applyProtection="1">
      <alignment horizontal="center"/>
      <protection locked="0"/>
    </xf>
    <xf numFmtId="0" fontId="13" fillId="2" borderId="0" xfId="0" applyFont="1" applyFill="1" applyBorder="1" applyAlignment="1" applyProtection="1">
      <alignment horizontal="center"/>
      <protection locked="0"/>
    </xf>
    <xf numFmtId="0" fontId="19" fillId="2" borderId="0" xfId="0" applyFont="1" applyFill="1" applyBorder="1" applyAlignment="1" applyProtection="1">
      <alignment horizontal="center"/>
    </xf>
    <xf numFmtId="0" fontId="14" fillId="2" borderId="0" xfId="0" applyFont="1" applyFill="1" applyBorder="1" applyAlignment="1" applyProtection="1">
      <alignment horizontal="center"/>
      <protection locked="0"/>
    </xf>
    <xf numFmtId="0" fontId="14" fillId="4" borderId="0" xfId="0" applyFont="1" applyFill="1" applyBorder="1" applyAlignment="1" applyProtection="1"/>
    <xf numFmtId="0" fontId="14" fillId="4" borderId="0" xfId="0" applyFont="1" applyFill="1" applyBorder="1" applyAlignment="1" applyProtection="1">
      <alignment horizontal="center"/>
    </xf>
    <xf numFmtId="0" fontId="19" fillId="4" borderId="0" xfId="0" applyFont="1" applyFill="1" applyBorder="1" applyAlignment="1" applyProtection="1">
      <alignment horizontal="center"/>
      <protection locked="0"/>
    </xf>
    <xf numFmtId="0" fontId="0" fillId="0" borderId="0" xfId="0" applyBorder="1"/>
    <xf numFmtId="0" fontId="14" fillId="9" borderId="0" xfId="0" applyFont="1" applyFill="1" applyBorder="1" applyAlignment="1" applyProtection="1"/>
    <xf numFmtId="0" fontId="14" fillId="4" borderId="0" xfId="0" applyFont="1" applyFill="1" applyProtection="1"/>
    <xf numFmtId="0" fontId="14" fillId="4" borderId="21" xfId="0" applyFont="1" applyFill="1" applyBorder="1" applyProtection="1"/>
    <xf numFmtId="0" fontId="14" fillId="4" borderId="0" xfId="0" applyFont="1" applyFill="1" applyBorder="1" applyProtection="1"/>
    <xf numFmtId="0" fontId="14" fillId="4" borderId="23" xfId="0" applyFont="1" applyFill="1" applyBorder="1" applyProtection="1"/>
    <xf numFmtId="0" fontId="5" fillId="4" borderId="27" xfId="0" applyFont="1" applyFill="1" applyBorder="1" applyAlignment="1" applyProtection="1">
      <alignment horizontal="right" vertical="center"/>
    </xf>
    <xf numFmtId="0" fontId="3" fillId="2" borderId="0" xfId="0" applyFont="1" applyFill="1" applyBorder="1" applyProtection="1">
      <protection locked="0"/>
    </xf>
    <xf numFmtId="0" fontId="13" fillId="4" borderId="0" xfId="0" applyFont="1" applyFill="1" applyBorder="1" applyAlignment="1" applyProtection="1">
      <alignment horizontal="left" vertical="center"/>
    </xf>
    <xf numFmtId="0" fontId="14" fillId="4" borderId="31" xfId="0" applyFont="1" applyFill="1" applyBorder="1" applyProtection="1"/>
    <xf numFmtId="0" fontId="14" fillId="4" borderId="32" xfId="0" applyFont="1" applyFill="1" applyBorder="1" applyProtection="1"/>
    <xf numFmtId="0" fontId="14" fillId="4" borderId="32" xfId="0" applyFont="1" applyFill="1" applyBorder="1" applyAlignment="1" applyProtection="1">
      <alignment horizontal="center"/>
    </xf>
    <xf numFmtId="4" fontId="18" fillId="4" borderId="32" xfId="0" applyNumberFormat="1" applyFont="1" applyFill="1" applyBorder="1" applyAlignment="1" applyProtection="1">
      <alignment vertical="center"/>
    </xf>
    <xf numFmtId="4" fontId="18" fillId="4" borderId="16" xfId="0" applyNumberFormat="1" applyFont="1" applyFill="1" applyBorder="1" applyAlignment="1" applyProtection="1">
      <alignment vertical="center"/>
    </xf>
    <xf numFmtId="0" fontId="14" fillId="4" borderId="33" xfId="0" applyFont="1" applyFill="1" applyBorder="1" applyProtection="1"/>
    <xf numFmtId="0" fontId="17" fillId="4" borderId="0" xfId="0" applyFont="1" applyFill="1" applyBorder="1" applyAlignment="1" applyProtection="1">
      <alignment horizontal="center" vertical="center" wrapText="1"/>
      <protection locked="0"/>
    </xf>
    <xf numFmtId="0" fontId="16" fillId="4" borderId="0" xfId="0" applyFont="1" applyFill="1" applyBorder="1" applyAlignment="1" applyProtection="1">
      <alignment horizontal="center" vertical="center" wrapText="1"/>
      <protection locked="0"/>
    </xf>
    <xf numFmtId="0" fontId="3" fillId="4" borderId="0" xfId="0" applyFont="1" applyFill="1" applyBorder="1" applyProtection="1">
      <protection locked="0"/>
    </xf>
    <xf numFmtId="0" fontId="13" fillId="4" borderId="18" xfId="0" applyFont="1" applyFill="1" applyBorder="1" applyAlignment="1" applyProtection="1">
      <alignment horizontal="center" vertical="center"/>
    </xf>
    <xf numFmtId="0" fontId="36" fillId="4" borderId="19" xfId="0" applyFont="1" applyFill="1" applyBorder="1" applyAlignment="1" applyProtection="1">
      <alignment horizontal="left" vertical="center"/>
    </xf>
    <xf numFmtId="0" fontId="13" fillId="4" borderId="19" xfId="0" applyFont="1" applyFill="1" applyBorder="1" applyAlignment="1" applyProtection="1">
      <alignment horizontal="left" vertical="center"/>
    </xf>
    <xf numFmtId="0" fontId="20" fillId="4" borderId="19" xfId="0" applyFont="1" applyFill="1" applyBorder="1" applyAlignment="1" applyProtection="1">
      <alignment horizontal="left" vertical="center"/>
    </xf>
    <xf numFmtId="0" fontId="20" fillId="4" borderId="19" xfId="0" applyFont="1" applyFill="1" applyBorder="1" applyAlignment="1" applyProtection="1">
      <alignment horizontal="center" vertical="center"/>
    </xf>
    <xf numFmtId="0" fontId="20" fillId="4" borderId="19" xfId="0" applyFont="1" applyFill="1" applyBorder="1" applyAlignment="1" applyProtection="1">
      <alignment horizontal="right" vertical="center"/>
    </xf>
    <xf numFmtId="0" fontId="26" fillId="4" borderId="19" xfId="0" applyFont="1" applyFill="1" applyBorder="1" applyAlignment="1" applyProtection="1">
      <alignment horizontal="center" vertical="center"/>
    </xf>
    <xf numFmtId="0" fontId="13" fillId="4" borderId="21" xfId="0" applyFont="1" applyFill="1" applyBorder="1" applyAlignment="1" applyProtection="1">
      <alignment horizontal="center" vertical="center"/>
    </xf>
    <xf numFmtId="0" fontId="11" fillId="4" borderId="0" xfId="0" applyFont="1" applyFill="1" applyBorder="1" applyAlignment="1" applyProtection="1">
      <alignment horizontal="left" vertical="center"/>
    </xf>
    <xf numFmtId="0" fontId="20" fillId="4" borderId="0" xfId="0" applyFont="1" applyFill="1" applyBorder="1" applyAlignment="1" applyProtection="1">
      <alignment horizontal="left" vertical="center"/>
    </xf>
    <xf numFmtId="0" fontId="20" fillId="4" borderId="0" xfId="0" applyFont="1" applyFill="1" applyBorder="1" applyAlignment="1" applyProtection="1">
      <alignment horizontal="center" vertical="center"/>
    </xf>
    <xf numFmtId="0" fontId="20" fillId="4" borderId="0" xfId="0" applyFont="1" applyFill="1" applyBorder="1" applyAlignment="1" applyProtection="1">
      <alignment horizontal="right" vertical="center"/>
    </xf>
    <xf numFmtId="0" fontId="26" fillId="4" borderId="0" xfId="0" applyFont="1" applyFill="1" applyBorder="1" applyAlignment="1" applyProtection="1">
      <alignment horizontal="center" vertical="center"/>
    </xf>
    <xf numFmtId="0" fontId="23" fillId="4" borderId="0" xfId="0" applyFont="1" applyFill="1" applyBorder="1" applyAlignment="1" applyProtection="1">
      <alignment horizontal="center" vertical="top" wrapText="1"/>
    </xf>
    <xf numFmtId="0" fontId="23" fillId="4" borderId="23" xfId="0" applyFont="1" applyFill="1" applyBorder="1" applyAlignment="1" applyProtection="1">
      <alignment horizontal="center" vertical="top" wrapText="1"/>
    </xf>
    <xf numFmtId="0" fontId="36" fillId="4" borderId="0" xfId="0" applyFont="1" applyFill="1" applyBorder="1" applyAlignment="1" applyProtection="1">
      <alignment horizontal="left" vertical="center"/>
    </xf>
    <xf numFmtId="0" fontId="13" fillId="4" borderId="31" xfId="0" applyFont="1" applyFill="1" applyBorder="1" applyAlignment="1" applyProtection="1">
      <alignment horizontal="center" vertical="center"/>
    </xf>
    <xf numFmtId="0" fontId="13" fillId="4" borderId="32" xfId="0" applyFont="1" applyFill="1" applyBorder="1" applyAlignment="1" applyProtection="1">
      <alignment horizontal="center" vertical="center"/>
    </xf>
    <xf numFmtId="0" fontId="13" fillId="4" borderId="32" xfId="0" applyFont="1" applyFill="1" applyBorder="1" applyAlignment="1" applyProtection="1">
      <alignment horizontal="left" vertical="center"/>
    </xf>
    <xf numFmtId="0" fontId="20" fillId="4" borderId="32" xfId="0" applyFont="1" applyFill="1" applyBorder="1" applyAlignment="1" applyProtection="1">
      <alignment horizontal="left" vertical="center"/>
    </xf>
    <xf numFmtId="0" fontId="20" fillId="4" borderId="32" xfId="0" applyFont="1" applyFill="1" applyBorder="1" applyAlignment="1" applyProtection="1">
      <alignment horizontal="center" vertical="center"/>
    </xf>
    <xf numFmtId="0" fontId="20" fillId="4" borderId="32" xfId="0" applyFont="1" applyFill="1" applyBorder="1" applyAlignment="1" applyProtection="1">
      <alignment horizontal="right" vertical="center"/>
    </xf>
    <xf numFmtId="0" fontId="26" fillId="4" borderId="32" xfId="0" applyFont="1" applyFill="1" applyBorder="1" applyAlignment="1" applyProtection="1">
      <alignment horizontal="center" vertical="center"/>
    </xf>
    <xf numFmtId="0" fontId="23" fillId="4" borderId="32" xfId="0" applyFont="1" applyFill="1" applyBorder="1" applyAlignment="1" applyProtection="1">
      <alignment horizontal="center" vertical="top" wrapText="1"/>
    </xf>
    <xf numFmtId="0" fontId="23" fillId="4" borderId="33" xfId="0" applyFont="1" applyFill="1" applyBorder="1" applyAlignment="1" applyProtection="1">
      <alignment horizontal="center" vertical="top" wrapText="1"/>
    </xf>
    <xf numFmtId="0" fontId="40" fillId="4" borderId="0" xfId="0" applyFont="1" applyFill="1" applyBorder="1" applyAlignment="1" applyProtection="1">
      <alignment horizontal="left" vertical="center"/>
    </xf>
    <xf numFmtId="0" fontId="13" fillId="4" borderId="19" xfId="0" applyFont="1" applyFill="1" applyBorder="1" applyAlignment="1" applyProtection="1">
      <alignment horizontal="center" vertical="center"/>
    </xf>
    <xf numFmtId="0" fontId="14" fillId="4" borderId="19" xfId="0" applyFont="1" applyFill="1" applyBorder="1" applyAlignment="1" applyProtection="1">
      <alignment horizontal="center" vertical="center"/>
    </xf>
    <xf numFmtId="0" fontId="13" fillId="4" borderId="20" xfId="0" applyFont="1" applyFill="1" applyBorder="1" applyAlignment="1" applyProtection="1">
      <alignment horizontal="center" vertical="center"/>
    </xf>
    <xf numFmtId="0" fontId="5" fillId="4" borderId="21" xfId="0" applyFont="1" applyFill="1" applyBorder="1" applyAlignment="1" applyProtection="1">
      <alignment horizontal="center" vertical="center"/>
    </xf>
    <xf numFmtId="0" fontId="5" fillId="4" borderId="23" xfId="0" applyFont="1" applyFill="1" applyBorder="1" applyAlignment="1" applyProtection="1">
      <alignment horizontal="center" vertical="center"/>
    </xf>
    <xf numFmtId="0" fontId="5" fillId="4" borderId="31" xfId="0" applyFont="1" applyFill="1" applyBorder="1" applyAlignment="1" applyProtection="1">
      <alignment horizontal="center" vertical="center"/>
    </xf>
    <xf numFmtId="0" fontId="5" fillId="4" borderId="32" xfId="0" applyFont="1" applyFill="1" applyBorder="1" applyAlignment="1" applyProtection="1">
      <alignment horizontal="center" vertical="center"/>
    </xf>
    <xf numFmtId="0" fontId="5" fillId="4" borderId="32" xfId="0" applyFont="1" applyFill="1" applyBorder="1" applyAlignment="1" applyProtection="1">
      <alignment horizontal="right" vertical="center"/>
    </xf>
    <xf numFmtId="49" fontId="5" fillId="4" borderId="16" xfId="0" applyNumberFormat="1" applyFont="1" applyFill="1" applyBorder="1" applyAlignment="1" applyProtection="1">
      <alignment horizontal="center" vertical="center"/>
      <protection locked="0"/>
    </xf>
    <xf numFmtId="0" fontId="5" fillId="4" borderId="33" xfId="0" applyFont="1" applyFill="1" applyBorder="1" applyAlignment="1" applyProtection="1">
      <alignment horizontal="center" vertical="center"/>
    </xf>
    <xf numFmtId="0" fontId="9" fillId="4" borderId="0" xfId="0" applyFont="1" applyFill="1" applyBorder="1" applyAlignment="1" applyProtection="1">
      <alignment horizontal="right" vertical="center"/>
      <protection locked="0"/>
    </xf>
    <xf numFmtId="0" fontId="8" fillId="4" borderId="0" xfId="0" applyFont="1" applyFill="1" applyBorder="1" applyAlignment="1" applyProtection="1">
      <alignment horizontal="center" vertical="center"/>
      <protection locked="0"/>
    </xf>
    <xf numFmtId="0" fontId="8" fillId="4" borderId="0" xfId="0" applyFont="1" applyFill="1" applyBorder="1" applyAlignment="1" applyProtection="1">
      <alignment vertical="center"/>
      <protection locked="0"/>
    </xf>
    <xf numFmtId="0" fontId="8" fillId="4" borderId="0" xfId="0" applyFont="1" applyFill="1" applyBorder="1" applyAlignment="1" applyProtection="1">
      <alignment horizontal="right" vertical="center"/>
      <protection locked="0"/>
    </xf>
    <xf numFmtId="0" fontId="13" fillId="7" borderId="10" xfId="0" applyNumberFormat="1" applyFont="1" applyFill="1" applyBorder="1" applyAlignment="1" applyProtection="1">
      <alignment horizontal="center"/>
    </xf>
    <xf numFmtId="0" fontId="16" fillId="4" borderId="0" xfId="0" applyFont="1" applyFill="1" applyBorder="1" applyAlignment="1" applyProtection="1">
      <alignment vertical="center" wrapText="1"/>
      <protection locked="0"/>
    </xf>
    <xf numFmtId="0" fontId="13" fillId="4" borderId="37" xfId="0" applyNumberFormat="1" applyFont="1" applyFill="1" applyBorder="1" applyAlignment="1" applyProtection="1">
      <alignment horizontal="center"/>
    </xf>
    <xf numFmtId="0" fontId="13" fillId="4" borderId="30" xfId="0" applyNumberFormat="1" applyFont="1" applyFill="1" applyBorder="1" applyAlignment="1" applyProtection="1">
      <alignment horizontal="center"/>
    </xf>
    <xf numFmtId="165" fontId="39" fillId="4" borderId="39" xfId="0" quotePrefix="1" applyNumberFormat="1" applyFont="1" applyFill="1" applyBorder="1" applyAlignment="1" applyProtection="1">
      <alignment horizontal="right" vertical="center" wrapText="1"/>
      <protection locked="0"/>
    </xf>
    <xf numFmtId="165" fontId="39" fillId="4" borderId="39" xfId="0" quotePrefix="1" applyNumberFormat="1" applyFont="1" applyFill="1" applyBorder="1" applyAlignment="1" applyProtection="1">
      <alignment horizontal="center" vertical="center" wrapText="1"/>
      <protection locked="0"/>
    </xf>
    <xf numFmtId="0" fontId="13" fillId="4" borderId="25" xfId="0" applyNumberFormat="1" applyFont="1" applyFill="1" applyBorder="1" applyAlignment="1" applyProtection="1">
      <alignment horizontal="center"/>
    </xf>
    <xf numFmtId="0" fontId="13" fillId="4" borderId="38" xfId="0" applyNumberFormat="1" applyFont="1" applyFill="1" applyBorder="1" applyAlignment="1" applyProtection="1">
      <alignment horizontal="center"/>
    </xf>
    <xf numFmtId="0" fontId="13" fillId="4" borderId="24" xfId="0" applyNumberFormat="1" applyFont="1" applyFill="1" applyBorder="1" applyAlignment="1" applyProtection="1">
      <alignment horizontal="center"/>
    </xf>
    <xf numFmtId="0" fontId="39" fillId="4" borderId="41" xfId="0" applyFont="1" applyFill="1" applyBorder="1" applyAlignment="1" applyProtection="1">
      <alignment vertical="center" wrapText="1"/>
      <protection locked="0"/>
    </xf>
    <xf numFmtId="0" fontId="39" fillId="4" borderId="32" xfId="0" applyFont="1" applyFill="1" applyBorder="1" applyAlignment="1" applyProtection="1">
      <alignment horizontal="center" vertical="center" wrapText="1"/>
      <protection locked="0"/>
    </xf>
    <xf numFmtId="0" fontId="13" fillId="4" borderId="32" xfId="0" applyNumberFormat="1" applyFont="1" applyFill="1" applyBorder="1" applyAlignment="1" applyProtection="1">
      <alignment horizontal="center"/>
    </xf>
    <xf numFmtId="0" fontId="13" fillId="4" borderId="33" xfId="0" applyNumberFormat="1" applyFont="1" applyFill="1" applyBorder="1" applyAlignment="1" applyProtection="1">
      <alignment horizontal="center"/>
    </xf>
    <xf numFmtId="0" fontId="14" fillId="2" borderId="9" xfId="0" applyFont="1" applyFill="1" applyBorder="1" applyProtection="1"/>
    <xf numFmtId="0" fontId="3" fillId="2" borderId="8" xfId="0" applyFont="1" applyFill="1" applyBorder="1" applyAlignment="1" applyProtection="1">
      <alignment wrapText="1"/>
    </xf>
    <xf numFmtId="0" fontId="14" fillId="2" borderId="10" xfId="0" applyFont="1" applyFill="1" applyBorder="1" applyAlignment="1" applyProtection="1"/>
    <xf numFmtId="0" fontId="14" fillId="4" borderId="10" xfId="0" applyFont="1" applyFill="1" applyBorder="1" applyAlignment="1" applyProtection="1"/>
    <xf numFmtId="0" fontId="14" fillId="9" borderId="10" xfId="0" applyFont="1" applyFill="1" applyBorder="1" applyAlignment="1" applyProtection="1"/>
    <xf numFmtId="0" fontId="28" fillId="2" borderId="0" xfId="0" applyFont="1" applyFill="1" applyBorder="1" applyAlignment="1" applyProtection="1">
      <alignment horizontal="right" vertical="center"/>
    </xf>
    <xf numFmtId="4" fontId="14" fillId="8" borderId="8" xfId="0" applyNumberFormat="1" applyFont="1" applyFill="1" applyBorder="1" applyAlignment="1" applyProtection="1">
      <alignment vertical="center"/>
    </xf>
    <xf numFmtId="4" fontId="14" fillId="8" borderId="8" xfId="0" applyNumberFormat="1" applyFont="1" applyFill="1" applyBorder="1" applyAlignment="1" applyProtection="1">
      <alignment vertical="center"/>
      <protection hidden="1"/>
    </xf>
    <xf numFmtId="0" fontId="41" fillId="0" borderId="0" xfId="0" applyFont="1" applyBorder="1"/>
    <xf numFmtId="49" fontId="42" fillId="2" borderId="10" xfId="0" applyNumberFormat="1" applyFont="1" applyFill="1" applyBorder="1" applyAlignment="1" applyProtection="1"/>
    <xf numFmtId="49" fontId="42" fillId="4" borderId="10" xfId="0" applyNumberFormat="1" applyFont="1" applyFill="1" applyBorder="1" applyAlignment="1" applyProtection="1"/>
    <xf numFmtId="49" fontId="42" fillId="9" borderId="10" xfId="0" applyNumberFormat="1" applyFont="1" applyFill="1" applyBorder="1" applyAlignment="1" applyProtection="1"/>
    <xf numFmtId="0" fontId="10" fillId="4" borderId="19" xfId="0" applyFont="1" applyFill="1" applyBorder="1" applyAlignment="1" applyProtection="1">
      <alignment horizontal="center" vertical="center"/>
    </xf>
    <xf numFmtId="0" fontId="43" fillId="4" borderId="0" xfId="0" applyFont="1" applyFill="1" applyBorder="1" applyAlignment="1" applyProtection="1">
      <alignment horizontal="left" vertical="center"/>
    </xf>
    <xf numFmtId="0" fontId="3" fillId="2" borderId="18" xfId="0" applyFont="1" applyFill="1" applyBorder="1" applyAlignment="1" applyProtection="1">
      <alignment horizontal="left" vertical="top" wrapText="1"/>
    </xf>
    <xf numFmtId="0" fontId="3" fillId="2" borderId="19" xfId="0" applyFont="1" applyFill="1" applyBorder="1" applyAlignment="1" applyProtection="1">
      <alignment horizontal="left" vertical="top" wrapText="1"/>
    </xf>
    <xf numFmtId="0" fontId="3" fillId="2" borderId="20" xfId="0" applyFont="1" applyFill="1" applyBorder="1" applyAlignment="1" applyProtection="1">
      <alignment horizontal="left" vertical="top" wrapText="1"/>
    </xf>
    <xf numFmtId="0" fontId="3" fillId="2" borderId="21" xfId="0" applyFont="1" applyFill="1" applyBorder="1" applyAlignment="1" applyProtection="1">
      <alignment horizontal="left" vertical="top" wrapText="1"/>
    </xf>
    <xf numFmtId="0" fontId="3" fillId="2" borderId="0" xfId="0" applyFont="1" applyFill="1" applyBorder="1" applyAlignment="1" applyProtection="1">
      <alignment horizontal="left" vertical="top" wrapText="1"/>
    </xf>
    <xf numFmtId="0" fontId="3" fillId="2" borderId="23" xfId="0" applyFont="1" applyFill="1" applyBorder="1" applyAlignment="1" applyProtection="1">
      <alignment horizontal="left" vertical="top" wrapText="1"/>
    </xf>
    <xf numFmtId="0" fontId="3" fillId="2" borderId="31" xfId="0" applyFont="1" applyFill="1" applyBorder="1" applyAlignment="1" applyProtection="1">
      <alignment horizontal="left" vertical="top" wrapText="1"/>
    </xf>
    <xf numFmtId="0" fontId="3" fillId="2" borderId="32" xfId="0" applyFont="1" applyFill="1" applyBorder="1" applyAlignment="1" applyProtection="1">
      <alignment horizontal="left" vertical="top" wrapText="1"/>
    </xf>
    <xf numFmtId="0" fontId="3" fillId="2" borderId="33" xfId="0" applyFont="1" applyFill="1" applyBorder="1" applyAlignment="1" applyProtection="1">
      <alignment horizontal="left" vertical="top" wrapText="1"/>
    </xf>
    <xf numFmtId="0" fontId="21" fillId="6" borderId="15" xfId="0" applyFont="1" applyFill="1" applyBorder="1" applyAlignment="1" applyProtection="1">
      <alignment horizontal="center" vertical="center" wrapText="1"/>
      <protection locked="0"/>
    </xf>
    <xf numFmtId="0" fontId="21" fillId="6" borderId="16" xfId="0" applyFont="1" applyFill="1" applyBorder="1" applyAlignment="1" applyProtection="1">
      <alignment horizontal="center" vertical="center" wrapText="1"/>
      <protection locked="0"/>
    </xf>
    <xf numFmtId="0" fontId="21" fillId="6" borderId="17" xfId="0" applyFont="1" applyFill="1" applyBorder="1" applyAlignment="1" applyProtection="1">
      <alignment horizontal="center" vertical="center" wrapText="1"/>
      <protection locked="0"/>
    </xf>
    <xf numFmtId="0" fontId="13" fillId="7" borderId="13" xfId="0" applyNumberFormat="1" applyFont="1" applyFill="1" applyBorder="1" applyAlignment="1" applyProtection="1">
      <alignment horizontal="center"/>
    </xf>
    <xf numFmtId="0" fontId="13" fillId="7" borderId="9" xfId="0" applyNumberFormat="1" applyFont="1" applyFill="1" applyBorder="1" applyAlignment="1" applyProtection="1">
      <alignment horizontal="center"/>
    </xf>
    <xf numFmtId="0" fontId="13" fillId="7" borderId="10" xfId="0" applyNumberFormat="1" applyFont="1" applyFill="1" applyBorder="1" applyAlignment="1" applyProtection="1">
      <alignment horizontal="center"/>
    </xf>
    <xf numFmtId="0" fontId="13" fillId="7" borderId="11" xfId="0" applyNumberFormat="1" applyFont="1" applyFill="1" applyBorder="1" applyAlignment="1" applyProtection="1">
      <alignment horizontal="center"/>
    </xf>
    <xf numFmtId="0" fontId="13" fillId="7" borderId="14" xfId="0" applyNumberFormat="1" applyFont="1" applyFill="1" applyBorder="1" applyAlignment="1" applyProtection="1">
      <alignment horizontal="center"/>
    </xf>
    <xf numFmtId="15" fontId="14" fillId="0" borderId="11" xfId="0" applyNumberFormat="1" applyFont="1" applyFill="1" applyBorder="1" applyAlignment="1" applyProtection="1">
      <alignment horizontal="center"/>
      <protection locked="0"/>
    </xf>
    <xf numFmtId="15" fontId="14" fillId="0" borderId="8" xfId="0" applyNumberFormat="1" applyFont="1" applyFill="1" applyBorder="1" applyAlignment="1" applyProtection="1">
      <alignment horizontal="center"/>
      <protection locked="0"/>
    </xf>
    <xf numFmtId="0" fontId="21" fillId="6" borderId="7" xfId="0" applyNumberFormat="1" applyFont="1" applyFill="1" applyBorder="1" applyAlignment="1" applyProtection="1">
      <alignment horizontal="center"/>
      <protection locked="0"/>
    </xf>
    <xf numFmtId="0" fontId="21" fillId="6" borderId="8" xfId="0" applyNumberFormat="1" applyFont="1" applyFill="1" applyBorder="1" applyAlignment="1" applyProtection="1">
      <alignment horizontal="center"/>
      <protection locked="0"/>
    </xf>
    <xf numFmtId="0" fontId="21" fillId="6" borderId="12" xfId="0" applyNumberFormat="1" applyFont="1" applyFill="1" applyBorder="1" applyAlignment="1" applyProtection="1">
      <alignment horizontal="center"/>
      <protection locked="0"/>
    </xf>
    <xf numFmtId="4" fontId="14" fillId="2" borderId="10" xfId="0" applyNumberFormat="1" applyFont="1" applyFill="1" applyBorder="1" applyAlignment="1" applyProtection="1">
      <protection locked="0"/>
    </xf>
    <xf numFmtId="4" fontId="14" fillId="0" borderId="11" xfId="0" applyNumberFormat="1" applyFont="1" applyFill="1" applyBorder="1" applyAlignment="1" applyProtection="1">
      <alignment horizontal="center"/>
      <protection locked="0"/>
    </xf>
    <xf numFmtId="4" fontId="14" fillId="0" borderId="8" xfId="0" applyNumberFormat="1" applyFont="1" applyFill="1" applyBorder="1" applyAlignment="1" applyProtection="1">
      <alignment horizontal="center"/>
      <protection locked="0"/>
    </xf>
    <xf numFmtId="4" fontId="14" fillId="0" borderId="9" xfId="0" applyNumberFormat="1" applyFont="1" applyFill="1" applyBorder="1" applyAlignment="1" applyProtection="1">
      <alignment horizontal="center"/>
      <protection locked="0"/>
    </xf>
    <xf numFmtId="4" fontId="14" fillId="0" borderId="11" xfId="0" applyNumberFormat="1" applyFont="1" applyFill="1" applyBorder="1" applyAlignment="1" applyProtection="1">
      <protection locked="0"/>
    </xf>
    <xf numFmtId="4" fontId="14" fillId="0" borderId="9" xfId="0" applyNumberFormat="1" applyFont="1" applyFill="1" applyBorder="1" applyAlignment="1" applyProtection="1">
      <protection locked="0"/>
    </xf>
    <xf numFmtId="166" fontId="39" fillId="4" borderId="39" xfId="0" applyNumberFormat="1" applyFont="1" applyFill="1" applyBorder="1" applyAlignment="1" applyProtection="1">
      <alignment horizontal="center" vertical="center" wrapText="1"/>
      <protection locked="0"/>
    </xf>
    <xf numFmtId="167" fontId="39" fillId="4" borderId="39" xfId="0" applyNumberFormat="1" applyFont="1" applyFill="1" applyBorder="1" applyAlignment="1" applyProtection="1">
      <alignment horizontal="center" vertical="center" wrapText="1"/>
      <protection locked="0"/>
    </xf>
    <xf numFmtId="4" fontId="14" fillId="2" borderId="11" xfId="0" applyNumberFormat="1" applyFont="1" applyFill="1" applyBorder="1" applyAlignment="1" applyProtection="1"/>
    <xf numFmtId="4" fontId="14" fillId="2" borderId="9" xfId="0" applyNumberFormat="1" applyFont="1" applyFill="1" applyBorder="1" applyAlignment="1" applyProtection="1"/>
    <xf numFmtId="4" fontId="14" fillId="4" borderId="11" xfId="0" applyNumberFormat="1" applyFont="1" applyFill="1" applyBorder="1" applyAlignment="1" applyProtection="1">
      <protection locked="0"/>
    </xf>
    <xf numFmtId="4" fontId="14" fillId="4" borderId="9" xfId="0" applyNumberFormat="1" applyFont="1" applyFill="1" applyBorder="1" applyAlignment="1" applyProtection="1">
      <protection locked="0"/>
    </xf>
    <xf numFmtId="4" fontId="14" fillId="10" borderId="11" xfId="0" applyNumberFormat="1" applyFont="1" applyFill="1" applyBorder="1" applyAlignment="1" applyProtection="1">
      <protection locked="0"/>
    </xf>
    <xf numFmtId="4" fontId="14" fillId="10" borderId="9" xfId="0" applyNumberFormat="1" applyFont="1" applyFill="1" applyBorder="1" applyAlignment="1" applyProtection="1">
      <protection locked="0"/>
    </xf>
    <xf numFmtId="0" fontId="23" fillId="4" borderId="19" xfId="0" applyFont="1" applyFill="1" applyBorder="1" applyAlignment="1" applyProtection="1">
      <alignment horizontal="center" vertical="top" wrapText="1"/>
    </xf>
    <xf numFmtId="0" fontId="23" fillId="4" borderId="20" xfId="0" applyFont="1" applyFill="1" applyBorder="1" applyAlignment="1" applyProtection="1">
      <alignment horizontal="center" vertical="top" wrapText="1"/>
    </xf>
    <xf numFmtId="0" fontId="5" fillId="4" borderId="11" xfId="0" applyFont="1" applyFill="1" applyBorder="1" applyAlignment="1" applyProtection="1">
      <alignment horizontal="center" vertical="center"/>
      <protection locked="0"/>
    </xf>
    <xf numFmtId="0" fontId="5" fillId="4" borderId="8" xfId="0" applyFont="1" applyFill="1" applyBorder="1" applyAlignment="1" applyProtection="1">
      <alignment horizontal="center" vertical="center"/>
      <protection locked="0"/>
    </xf>
    <xf numFmtId="0" fontId="5" fillId="4" borderId="9" xfId="0" applyFont="1" applyFill="1" applyBorder="1" applyAlignment="1" applyProtection="1">
      <alignment horizontal="center" vertical="center"/>
      <protection locked="0"/>
    </xf>
    <xf numFmtId="0" fontId="13" fillId="2" borderId="18" xfId="0" applyFont="1" applyFill="1" applyBorder="1" applyAlignment="1" applyProtection="1">
      <alignment horizontal="left" vertical="center"/>
    </xf>
    <xf numFmtId="0" fontId="18" fillId="0" borderId="19" xfId="0" applyFont="1" applyBorder="1" applyAlignment="1" applyProtection="1">
      <alignment horizontal="left" vertical="center"/>
    </xf>
    <xf numFmtId="0" fontId="14" fillId="2" borderId="19" xfId="0" applyFont="1" applyFill="1" applyBorder="1" applyAlignment="1" applyProtection="1">
      <alignment horizontal="center" vertical="center"/>
    </xf>
    <xf numFmtId="0" fontId="14" fillId="0" borderId="0" xfId="0" applyFont="1" applyBorder="1" applyAlignment="1" applyProtection="1">
      <alignment horizontal="center"/>
    </xf>
    <xf numFmtId="0" fontId="13" fillId="2" borderId="19" xfId="0" applyFont="1" applyFill="1" applyBorder="1" applyAlignment="1" applyProtection="1">
      <alignment horizontal="center" vertical="center"/>
    </xf>
    <xf numFmtId="0" fontId="13" fillId="2" borderId="20" xfId="0" applyFont="1" applyFill="1" applyBorder="1" applyAlignment="1" applyProtection="1">
      <alignment horizontal="center" vertical="center"/>
    </xf>
    <xf numFmtId="0" fontId="16" fillId="4" borderId="11" xfId="0" applyFont="1" applyFill="1" applyBorder="1" applyAlignment="1" applyProtection="1">
      <alignment horizontal="center" vertical="center" wrapText="1"/>
      <protection locked="0"/>
    </xf>
    <xf numFmtId="0" fontId="16" fillId="4" borderId="8" xfId="0" applyFont="1" applyFill="1" applyBorder="1" applyAlignment="1" applyProtection="1">
      <alignment horizontal="center" vertical="center" wrapText="1"/>
      <protection locked="0"/>
    </xf>
    <xf numFmtId="0" fontId="16" fillId="4" borderId="9" xfId="0" applyFont="1" applyFill="1" applyBorder="1" applyAlignment="1" applyProtection="1">
      <alignment horizontal="center" vertical="center" wrapText="1"/>
      <protection locked="0"/>
    </xf>
    <xf numFmtId="0" fontId="5" fillId="4" borderId="16" xfId="0" applyFont="1" applyFill="1" applyBorder="1" applyAlignment="1" applyProtection="1">
      <alignment horizontal="center" vertical="center"/>
      <protection locked="0"/>
    </xf>
    <xf numFmtId="0" fontId="17" fillId="4" borderId="0" xfId="0" applyFont="1" applyFill="1" applyBorder="1" applyAlignment="1" applyProtection="1">
      <alignment horizontal="center" vertical="center" wrapText="1"/>
      <protection locked="0"/>
    </xf>
    <xf numFmtId="0" fontId="13" fillId="4" borderId="0" xfId="0" applyFont="1" applyFill="1" applyBorder="1" applyAlignment="1" applyProtection="1">
      <alignment horizontal="center" wrapText="1"/>
    </xf>
    <xf numFmtId="0" fontId="10" fillId="5" borderId="34" xfId="0" applyFont="1" applyFill="1" applyBorder="1" applyAlignment="1" applyProtection="1">
      <alignment horizontal="center"/>
    </xf>
    <xf numFmtId="0" fontId="10" fillId="5" borderId="35" xfId="0" applyFont="1" applyFill="1" applyBorder="1" applyAlignment="1" applyProtection="1">
      <alignment horizontal="center"/>
    </xf>
    <xf numFmtId="0" fontId="10" fillId="5" borderId="36" xfId="0" applyFont="1" applyFill="1" applyBorder="1" applyAlignment="1" applyProtection="1">
      <alignment horizontal="center"/>
    </xf>
    <xf numFmtId="0" fontId="6" fillId="2" borderId="0" xfId="0" applyFont="1" applyFill="1" applyBorder="1" applyAlignment="1" applyProtection="1">
      <alignment horizontal="center"/>
    </xf>
    <xf numFmtId="0" fontId="7" fillId="2" borderId="0" xfId="0" applyFont="1" applyFill="1" applyBorder="1" applyAlignment="1" applyProtection="1"/>
    <xf numFmtId="0" fontId="13" fillId="7" borderId="1" xfId="0" applyFont="1" applyFill="1" applyBorder="1" applyAlignment="1" applyProtection="1">
      <alignment horizontal="center" wrapText="1"/>
    </xf>
    <xf numFmtId="0" fontId="14" fillId="7" borderId="2" xfId="0" applyFont="1" applyFill="1" applyBorder="1" applyAlignment="1" applyProtection="1">
      <alignment horizontal="center" wrapText="1"/>
    </xf>
    <xf numFmtId="0" fontId="14" fillId="7" borderId="3" xfId="0" applyFont="1" applyFill="1" applyBorder="1" applyAlignment="1" applyProtection="1">
      <alignment horizontal="center" wrapText="1"/>
    </xf>
    <xf numFmtId="0" fontId="13" fillId="7" borderId="5" xfId="0" applyFont="1" applyFill="1" applyBorder="1" applyAlignment="1" applyProtection="1">
      <alignment horizontal="center"/>
    </xf>
    <xf numFmtId="0" fontId="13" fillId="7" borderId="2" xfId="0" applyFont="1" applyFill="1" applyBorder="1" applyAlignment="1" applyProtection="1">
      <alignment horizontal="center"/>
    </xf>
    <xf numFmtId="0" fontId="13" fillId="7" borderId="6" xfId="0" applyFont="1" applyFill="1" applyBorder="1" applyAlignment="1" applyProtection="1">
      <alignment horizontal="center"/>
    </xf>
    <xf numFmtId="165" fontId="39" fillId="4" borderId="7" xfId="0" quotePrefix="1" applyNumberFormat="1" applyFont="1" applyFill="1" applyBorder="1" applyAlignment="1" applyProtection="1">
      <alignment horizontal="center" vertical="center" wrapText="1"/>
      <protection locked="0"/>
    </xf>
    <xf numFmtId="165" fontId="39" fillId="4" borderId="8" xfId="0" quotePrefix="1" applyNumberFormat="1" applyFont="1" applyFill="1" applyBorder="1" applyAlignment="1" applyProtection="1">
      <alignment horizontal="center" vertical="center" wrapText="1"/>
      <protection locked="0"/>
    </xf>
    <xf numFmtId="165" fontId="39" fillId="4" borderId="9" xfId="0" quotePrefix="1" applyNumberFormat="1" applyFont="1" applyFill="1" applyBorder="1" applyAlignment="1" applyProtection="1">
      <alignment horizontal="center" vertical="center" wrapText="1"/>
      <protection locked="0"/>
    </xf>
    <xf numFmtId="43" fontId="29" fillId="4" borderId="11" xfId="1" applyNumberFormat="1" applyFill="1" applyBorder="1" applyAlignment="1" applyProtection="1">
      <alignment horizontal="center"/>
      <protection locked="0"/>
    </xf>
    <xf numFmtId="43" fontId="12" fillId="4" borderId="8" xfId="0" applyNumberFormat="1" applyFont="1" applyFill="1" applyBorder="1" applyAlignment="1" applyProtection="1">
      <alignment horizontal="center"/>
      <protection locked="0"/>
    </xf>
    <xf numFmtId="43" fontId="12" fillId="4" borderId="12" xfId="0" applyNumberFormat="1" applyFont="1" applyFill="1" applyBorder="1" applyAlignment="1" applyProtection="1">
      <alignment horizontal="center"/>
      <protection locked="0"/>
    </xf>
    <xf numFmtId="0" fontId="14" fillId="4" borderId="11" xfId="0" quotePrefix="1" applyFont="1" applyFill="1" applyBorder="1" applyAlignment="1" applyProtection="1">
      <alignment horizontal="center" vertical="center"/>
      <protection locked="0"/>
    </xf>
    <xf numFmtId="0" fontId="14" fillId="4" borderId="8" xfId="0" quotePrefix="1" applyFont="1" applyFill="1" applyBorder="1" applyAlignment="1" applyProtection="1">
      <alignment horizontal="center" vertical="center"/>
      <protection locked="0"/>
    </xf>
    <xf numFmtId="0" fontId="14" fillId="4" borderId="9" xfId="0" quotePrefix="1" applyFont="1" applyFill="1" applyBorder="1" applyAlignment="1" applyProtection="1">
      <alignment horizontal="center" vertical="center"/>
      <protection locked="0"/>
    </xf>
    <xf numFmtId="0" fontId="13" fillId="4" borderId="22" xfId="0" applyFont="1" applyFill="1" applyBorder="1" applyAlignment="1" applyProtection="1">
      <alignment horizontal="center"/>
    </xf>
    <xf numFmtId="0" fontId="13" fillId="4" borderId="31" xfId="0" applyNumberFormat="1" applyFont="1" applyFill="1" applyBorder="1" applyAlignment="1" applyProtection="1">
      <alignment horizontal="center"/>
    </xf>
    <xf numFmtId="0" fontId="13" fillId="4" borderId="32" xfId="0" applyNumberFormat="1" applyFont="1" applyFill="1" applyBorder="1" applyAlignment="1" applyProtection="1">
      <alignment horizontal="center"/>
    </xf>
    <xf numFmtId="0" fontId="13" fillId="4" borderId="40" xfId="0" applyNumberFormat="1" applyFont="1" applyFill="1" applyBorder="1" applyAlignment="1" applyProtection="1">
      <alignment horizontal="center"/>
    </xf>
    <xf numFmtId="0" fontId="8" fillId="4" borderId="0" xfId="0" applyFont="1" applyFill="1" applyBorder="1" applyAlignment="1" applyProtection="1">
      <alignment horizontal="center" vertical="center" wrapText="1"/>
      <protection locked="0"/>
    </xf>
    <xf numFmtId="0" fontId="9" fillId="4" borderId="0" xfId="0" applyFont="1" applyFill="1" applyBorder="1" applyAlignment="1" applyProtection="1">
      <alignment horizontal="right" vertical="center" wrapText="1"/>
      <protection locked="0"/>
    </xf>
    <xf numFmtId="0" fontId="14" fillId="2" borderId="0" xfId="0" applyFont="1" applyFill="1" applyBorder="1" applyAlignment="1" applyProtection="1">
      <alignment horizontal="center"/>
    </xf>
    <xf numFmtId="0" fontId="18" fillId="4" borderId="11" xfId="0" applyFont="1" applyFill="1" applyBorder="1" applyAlignment="1" applyProtection="1">
      <alignment horizontal="center" vertical="center"/>
      <protection locked="0"/>
    </xf>
    <xf numFmtId="0" fontId="18" fillId="4" borderId="8" xfId="0" applyFont="1" applyFill="1" applyBorder="1" applyAlignment="1" applyProtection="1">
      <alignment horizontal="center" vertical="center"/>
      <protection locked="0"/>
    </xf>
    <xf numFmtId="0" fontId="18" fillId="4" borderId="9" xfId="0" applyFont="1" applyFill="1" applyBorder="1" applyAlignment="1" applyProtection="1">
      <alignment horizontal="center" vertical="center"/>
      <protection locked="0"/>
    </xf>
  </cellXfs>
  <cellStyles count="2">
    <cellStyle name="Hipervínculo" xfId="1" builtinId="8"/>
    <cellStyle name="Normal" xfId="0" builtinId="0"/>
  </cellStyles>
  <dxfs count="4">
    <dxf>
      <font>
        <color rgb="FFFF0000"/>
      </font>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colors>
    <mruColors>
      <color rgb="FFDFEF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Radio" checked="Checked" firstButton="1" fmlaLink="$L$3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D$5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Drop" dropStyle="combo" dx="16" fmlaLink="Apoyo!$D$2" fmlaRange="Apoyo!$A$2:$A$9" noThreeD="1" sel="7" val="0"/>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94191</xdr:colOff>
      <xdr:row>0</xdr:row>
      <xdr:rowOff>85725</xdr:rowOff>
    </xdr:from>
    <xdr:to>
      <xdr:col>3</xdr:col>
      <xdr:colOff>812799</xdr:colOff>
      <xdr:row>1</xdr:row>
      <xdr:rowOff>36182</xdr:rowOff>
    </xdr:to>
    <xdr:pic>
      <xdr:nvPicPr>
        <xdr:cNvPr id="3" name="2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191" y="85725"/>
          <a:ext cx="1120775" cy="320874"/>
        </a:xfrm>
        <a:prstGeom prst="rect">
          <a:avLst/>
        </a:prstGeom>
        <a:noFill/>
        <a:ln>
          <a:noFill/>
        </a:ln>
        <a:effectLst/>
      </xdr:spPr>
    </xdr:pic>
    <xdr:clientData/>
  </xdr:twoCellAnchor>
  <mc:AlternateContent xmlns:mc="http://schemas.openxmlformats.org/markup-compatibility/2006">
    <mc:Choice xmlns:a14="http://schemas.microsoft.com/office/drawing/2010/main" Requires="a14">
      <xdr:twoCellAnchor editAs="oneCell">
        <xdr:from>
          <xdr:col>2</xdr:col>
          <xdr:colOff>28575</xdr:colOff>
          <xdr:row>37</xdr:row>
          <xdr:rowOff>0</xdr:rowOff>
        </xdr:from>
        <xdr:to>
          <xdr:col>3</xdr:col>
          <xdr:colOff>95250</xdr:colOff>
          <xdr:row>38</xdr:row>
          <xdr:rowOff>19050</xdr:rowOff>
        </xdr:to>
        <xdr:sp macro="" textlink="">
          <xdr:nvSpPr>
            <xdr:cNvPr id="1033" name="Option Button 9"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38</xdr:row>
          <xdr:rowOff>0</xdr:rowOff>
        </xdr:from>
        <xdr:to>
          <xdr:col>3</xdr:col>
          <xdr:colOff>114300</xdr:colOff>
          <xdr:row>39</xdr:row>
          <xdr:rowOff>28575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0</xdr:row>
          <xdr:rowOff>257175</xdr:rowOff>
        </xdr:from>
        <xdr:to>
          <xdr:col>9</xdr:col>
          <xdr:colOff>19050</xdr:colOff>
          <xdr:row>2</xdr:row>
          <xdr:rowOff>161925</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39</xdr:row>
          <xdr:rowOff>19050</xdr:rowOff>
        </xdr:from>
        <xdr:to>
          <xdr:col>3</xdr:col>
          <xdr:colOff>114300</xdr:colOff>
          <xdr:row>40</xdr:row>
          <xdr:rowOff>47625</xdr:rowOff>
        </xdr:to>
        <xdr:sp macro="" textlink="">
          <xdr:nvSpPr>
            <xdr:cNvPr id="1042" name="Option Button 18"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xdr:twoCellAnchor editAs="oneCell">
    <xdr:from>
      <xdr:col>4</xdr:col>
      <xdr:colOff>428625</xdr:colOff>
      <xdr:row>51</xdr:row>
      <xdr:rowOff>114300</xdr:rowOff>
    </xdr:from>
    <xdr:to>
      <xdr:col>4</xdr:col>
      <xdr:colOff>590550</xdr:colOff>
      <xdr:row>51</xdr:row>
      <xdr:rowOff>114300</xdr:rowOff>
    </xdr:to>
    <xdr:sp macro="" textlink="">
      <xdr:nvSpPr>
        <xdr:cNvPr id="8" name="OptionButton22" hidden="1">
          <a:extLst>
            <a:ext uri="{63B3BB69-23CF-44E3-9099-C40C66FF867C}">
              <a14:compatExt xmlns:a14="http://schemas.microsoft.com/office/drawing/2010/main" spid="_x0000_s1044"/>
            </a:ext>
          </a:extLst>
        </xdr:cNvPr>
        <xdr:cNvSpPr/>
      </xdr:nvSpPr>
      <xdr:spPr>
        <a:xfrm>
          <a:off x="0" y="0"/>
          <a:ext cx="0" cy="0"/>
        </a:xfrm>
        <a:prstGeom prst="rect">
          <a:avLst/>
        </a:prstGeom>
      </xdr:spPr>
    </xdr:sp>
    <xdr:clientData/>
  </xdr:twoCellAnchor>
  <xdr:twoCellAnchor editAs="oneCell">
    <xdr:from>
      <xdr:col>4</xdr:col>
      <xdr:colOff>428625</xdr:colOff>
      <xdr:row>51</xdr:row>
      <xdr:rowOff>114300</xdr:rowOff>
    </xdr:from>
    <xdr:to>
      <xdr:col>4</xdr:col>
      <xdr:colOff>590550</xdr:colOff>
      <xdr:row>51</xdr:row>
      <xdr:rowOff>114300</xdr:rowOff>
    </xdr:to>
    <xdr:pic>
      <xdr:nvPicPr>
        <xdr:cNvPr id="1044" name="OptionButton22"/>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62075" y="9153525"/>
          <a:ext cx="161925"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571500</xdr:colOff>
          <xdr:row>50</xdr:row>
          <xdr:rowOff>0</xdr:rowOff>
        </xdr:from>
        <xdr:to>
          <xdr:col>6</xdr:col>
          <xdr:colOff>695325</xdr:colOff>
          <xdr:row>51</xdr:row>
          <xdr:rowOff>266700</xdr:rowOff>
        </xdr:to>
        <xdr:sp macro="" textlink="">
          <xdr:nvSpPr>
            <xdr:cNvPr id="1055" name="Group Box 31"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50</xdr:row>
          <xdr:rowOff>38100</xdr:rowOff>
        </xdr:from>
        <xdr:to>
          <xdr:col>5</xdr:col>
          <xdr:colOff>171450</xdr:colOff>
          <xdr:row>50</xdr:row>
          <xdr:rowOff>257175</xdr:rowOff>
        </xdr:to>
        <xdr:sp macro="" textlink="">
          <xdr:nvSpPr>
            <xdr:cNvPr id="1056" name="Option Button 32"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51</xdr:row>
          <xdr:rowOff>38100</xdr:rowOff>
        </xdr:from>
        <xdr:to>
          <xdr:col>5</xdr:col>
          <xdr:colOff>171450</xdr:colOff>
          <xdr:row>51</xdr:row>
          <xdr:rowOff>247650</xdr:rowOff>
        </xdr:to>
        <xdr:sp macro="" textlink="">
          <xdr:nvSpPr>
            <xdr:cNvPr id="1057" name="Option Button 33" hidden="1">
              <a:extLst>
                <a:ext uri="{63B3BB69-23CF-44E3-9099-C40C66FF867C}">
                  <a14:compatExt spid="_x0000_s1057"/>
                </a:ext>
              </a:extLst>
            </xdr:cNvPr>
            <xdr:cNvSpPr/>
          </xdr:nvSpPr>
          <xdr:spPr>
            <a:xfrm>
              <a:off x="0" y="0"/>
              <a:ext cx="0" cy="0"/>
            </a:xfrm>
            <a:prstGeom prst="rect">
              <a:avLst/>
            </a:prstGeom>
          </xdr:spPr>
        </xdr:sp>
        <xdr:clientData/>
      </xdr:twoCellAnchor>
    </mc:Choice>
    <mc:Fallback/>
  </mc:AlternateContent>
  <xdr:oneCellAnchor>
    <xdr:from>
      <xdr:col>4</xdr:col>
      <xdr:colOff>428625</xdr:colOff>
      <xdr:row>28</xdr:row>
      <xdr:rowOff>0</xdr:rowOff>
    </xdr:from>
    <xdr:ext cx="161925" cy="0"/>
    <xdr:sp macro="" textlink="">
      <xdr:nvSpPr>
        <xdr:cNvPr id="12" name="OptionButton22" hidden="1">
          <a:extLst>
            <a:ext uri="{63B3BB69-23CF-44E3-9099-C40C66FF867C}">
              <a14:compatExt xmlns:a14="http://schemas.microsoft.com/office/drawing/2010/main" spid="_x0000_s1044"/>
            </a:ext>
          </a:extLst>
        </xdr:cNvPr>
        <xdr:cNvSpPr/>
      </xdr:nvSpPr>
      <xdr:spPr>
        <a:xfrm>
          <a:off x="1362075" y="10258425"/>
          <a:ext cx="161925" cy="0"/>
        </a:xfrm>
        <a:prstGeom prst="rect">
          <a:avLst/>
        </a:prstGeom>
      </xdr:spPr>
    </xdr:sp>
    <xdr:clientData/>
  </xdr:oneCellAnchor>
  <xdr:oneCellAnchor>
    <xdr:from>
      <xdr:col>4</xdr:col>
      <xdr:colOff>428625</xdr:colOff>
      <xdr:row>28</xdr:row>
      <xdr:rowOff>0</xdr:rowOff>
    </xdr:from>
    <xdr:ext cx="161925" cy="0"/>
    <xdr:pic>
      <xdr:nvPicPr>
        <xdr:cNvPr id="13" name="OptionButton22"/>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62075" y="10258425"/>
          <a:ext cx="161925"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1</xdr:col>
          <xdr:colOff>38100</xdr:colOff>
          <xdr:row>15</xdr:row>
          <xdr:rowOff>9525</xdr:rowOff>
        </xdr:from>
        <xdr:to>
          <xdr:col>12</xdr:col>
          <xdr:colOff>304800</xdr:colOff>
          <xdr:row>16</xdr:row>
          <xdr:rowOff>57150</xdr:rowOff>
        </xdr:to>
        <xdr:sp macro="" textlink="">
          <xdr:nvSpPr>
            <xdr:cNvPr id="1063" name="Drop Down 39"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36</xdr:row>
          <xdr:rowOff>9525</xdr:rowOff>
        </xdr:from>
        <xdr:to>
          <xdr:col>2</xdr:col>
          <xdr:colOff>28575</xdr:colOff>
          <xdr:row>37</xdr:row>
          <xdr:rowOff>66675</xdr:rowOff>
        </xdr:to>
        <xdr:sp macro="" textlink="">
          <xdr:nvSpPr>
            <xdr:cNvPr id="1064" name="Option Button 40" hidden="1">
              <a:extLst>
                <a:ext uri="{63B3BB69-23CF-44E3-9099-C40C66FF867C}">
                  <a14:compatExt spid="_x0000_s1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35</xdr:row>
          <xdr:rowOff>180975</xdr:rowOff>
        </xdr:from>
        <xdr:to>
          <xdr:col>3</xdr:col>
          <xdr:colOff>171450</xdr:colOff>
          <xdr:row>37</xdr:row>
          <xdr:rowOff>0</xdr:rowOff>
        </xdr:to>
        <xdr:sp macro="" textlink="">
          <xdr:nvSpPr>
            <xdr:cNvPr id="1075" name="Option Button 51" hidden="1">
              <a:extLst>
                <a:ext uri="{63B3BB69-23CF-44E3-9099-C40C66FF867C}">
                  <a14:compatExt spid="_x0000_s1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35</xdr:row>
          <xdr:rowOff>171450</xdr:rowOff>
        </xdr:from>
        <xdr:to>
          <xdr:col>9</xdr:col>
          <xdr:colOff>219075</xdr:colOff>
          <xdr:row>37</xdr:row>
          <xdr:rowOff>66675</xdr:rowOff>
        </xdr:to>
        <xdr:sp macro="" textlink="">
          <xdr:nvSpPr>
            <xdr:cNvPr id="1076" name="Option Button 52" hidden="1">
              <a:extLst>
                <a:ext uri="{63B3BB69-23CF-44E3-9099-C40C66FF867C}">
                  <a14:compatExt spid="_x0000_s1076"/>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PERSONAL"/>
    </sheetNames>
    <definedNames>
      <definedName name="EXCESO"/>
      <definedName name="EXPANDIR"/>
      <definedName name="GPS"/>
      <definedName name="MORA"/>
      <definedName name="PYG"/>
    </definedNames>
    <sheetDataSet>
      <sheetData sheetId="0"/>
      <sheetData sheetId="1"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 Type="http://schemas.openxmlformats.org/officeDocument/2006/relationships/hyperlink" Target="mailto:E019099-Daniel.Montoya@Opplus.bbva.co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fitToPage="1"/>
  </sheetPr>
  <dimension ref="A1:AA5151"/>
  <sheetViews>
    <sheetView tabSelected="1" topLeftCell="A62" zoomScale="90" zoomScaleNormal="90" workbookViewId="0">
      <selection activeCell="B74" sqref="B74:Q114"/>
    </sheetView>
  </sheetViews>
  <sheetFormatPr baseColWidth="10" defaultRowHeight="12" x14ac:dyDescent="0.2"/>
  <cols>
    <col min="1" max="2" width="1.5703125" style="4" customWidth="1"/>
    <col min="3" max="3" width="2.85546875" style="4" customWidth="1"/>
    <col min="4" max="4" width="12.42578125" style="4" customWidth="1"/>
    <col min="5" max="5" width="10.28515625" style="4" customWidth="1"/>
    <col min="6" max="6" width="12.85546875" style="4" customWidth="1"/>
    <col min="7" max="7" width="10.42578125" style="4" customWidth="1"/>
    <col min="8" max="8" width="1.85546875" style="4" customWidth="1"/>
    <col min="9" max="9" width="2.5703125" style="4" customWidth="1"/>
    <col min="10" max="10" width="3.5703125" style="4" customWidth="1"/>
    <col min="11" max="11" width="9.85546875" style="4" customWidth="1"/>
    <col min="12" max="12" width="9.28515625" style="4" customWidth="1"/>
    <col min="13" max="13" width="5.28515625" style="4" customWidth="1"/>
    <col min="14" max="14" width="0.85546875" style="4" customWidth="1"/>
    <col min="15" max="15" width="9.42578125" style="4" bestFit="1" customWidth="1"/>
    <col min="16" max="16" width="1.140625" style="4" customWidth="1"/>
    <col min="17" max="17" width="32.140625" style="4" bestFit="1" customWidth="1"/>
    <col min="18" max="18" width="7.140625" style="4" bestFit="1" customWidth="1"/>
    <col min="19" max="19" width="5.7109375" style="4" bestFit="1" customWidth="1"/>
    <col min="20" max="26" width="11.42578125" style="4"/>
    <col min="27" max="27" width="12.85546875" style="4" bestFit="1" customWidth="1"/>
    <col min="28" max="241" width="11.42578125" style="4"/>
    <col min="242" max="243" width="1.5703125" style="4" customWidth="1"/>
    <col min="244" max="244" width="1.28515625" style="4" customWidth="1"/>
    <col min="245" max="247" width="13.85546875" style="4" customWidth="1"/>
    <col min="248" max="248" width="1.42578125" style="4" customWidth="1"/>
    <col min="249" max="249" width="3.85546875" style="4" customWidth="1"/>
    <col min="250" max="250" width="1.5703125" style="4" customWidth="1"/>
    <col min="251" max="251" width="13.7109375" style="4" customWidth="1"/>
    <col min="252" max="252" width="9.28515625" style="4" customWidth="1"/>
    <col min="253" max="253" width="3" style="4" customWidth="1"/>
    <col min="254" max="254" width="1" style="4" customWidth="1"/>
    <col min="255" max="255" width="13.7109375" style="4" customWidth="1"/>
    <col min="256" max="256" width="1.140625" style="4" customWidth="1"/>
    <col min="257" max="257" width="1.28515625" style="4" customWidth="1"/>
    <col min="258" max="497" width="11.42578125" style="4"/>
    <col min="498" max="499" width="1.5703125" style="4" customWidth="1"/>
    <col min="500" max="500" width="1.28515625" style="4" customWidth="1"/>
    <col min="501" max="503" width="13.85546875" style="4" customWidth="1"/>
    <col min="504" max="504" width="1.42578125" style="4" customWidth="1"/>
    <col min="505" max="505" width="3.85546875" style="4" customWidth="1"/>
    <col min="506" max="506" width="1.5703125" style="4" customWidth="1"/>
    <col min="507" max="507" width="13.7109375" style="4" customWidth="1"/>
    <col min="508" max="508" width="9.28515625" style="4" customWidth="1"/>
    <col min="509" max="509" width="3" style="4" customWidth="1"/>
    <col min="510" max="510" width="1" style="4" customWidth="1"/>
    <col min="511" max="511" width="13.7109375" style="4" customWidth="1"/>
    <col min="512" max="512" width="1.140625" style="4" customWidth="1"/>
    <col min="513" max="513" width="1.28515625" style="4" customWidth="1"/>
    <col min="514" max="753" width="11.42578125" style="4"/>
    <col min="754" max="755" width="1.5703125" style="4" customWidth="1"/>
    <col min="756" max="756" width="1.28515625" style="4" customWidth="1"/>
    <col min="757" max="759" width="13.85546875" style="4" customWidth="1"/>
    <col min="760" max="760" width="1.42578125" style="4" customWidth="1"/>
    <col min="761" max="761" width="3.85546875" style="4" customWidth="1"/>
    <col min="762" max="762" width="1.5703125" style="4" customWidth="1"/>
    <col min="763" max="763" width="13.7109375" style="4" customWidth="1"/>
    <col min="764" max="764" width="9.28515625" style="4" customWidth="1"/>
    <col min="765" max="765" width="3" style="4" customWidth="1"/>
    <col min="766" max="766" width="1" style="4" customWidth="1"/>
    <col min="767" max="767" width="13.7109375" style="4" customWidth="1"/>
    <col min="768" max="768" width="1.140625" style="4" customWidth="1"/>
    <col min="769" max="769" width="1.28515625" style="4" customWidth="1"/>
    <col min="770" max="1009" width="11.42578125" style="4"/>
    <col min="1010" max="1011" width="1.5703125" style="4" customWidth="1"/>
    <col min="1012" max="1012" width="1.28515625" style="4" customWidth="1"/>
    <col min="1013" max="1015" width="13.85546875" style="4" customWidth="1"/>
    <col min="1016" max="1016" width="1.42578125" style="4" customWidth="1"/>
    <col min="1017" max="1017" width="3.85546875" style="4" customWidth="1"/>
    <col min="1018" max="1018" width="1.5703125" style="4" customWidth="1"/>
    <col min="1019" max="1019" width="13.7109375" style="4" customWidth="1"/>
    <col min="1020" max="1020" width="9.28515625" style="4" customWidth="1"/>
    <col min="1021" max="1021" width="3" style="4" customWidth="1"/>
    <col min="1022" max="1022" width="1" style="4" customWidth="1"/>
    <col min="1023" max="1023" width="13.7109375" style="4" customWidth="1"/>
    <col min="1024" max="1024" width="1.140625" style="4" customWidth="1"/>
    <col min="1025" max="1025" width="1.28515625" style="4" customWidth="1"/>
    <col min="1026" max="1265" width="11.42578125" style="4"/>
    <col min="1266" max="1267" width="1.5703125" style="4" customWidth="1"/>
    <col min="1268" max="1268" width="1.28515625" style="4" customWidth="1"/>
    <col min="1269" max="1271" width="13.85546875" style="4" customWidth="1"/>
    <col min="1272" max="1272" width="1.42578125" style="4" customWidth="1"/>
    <col min="1273" max="1273" width="3.85546875" style="4" customWidth="1"/>
    <col min="1274" max="1274" width="1.5703125" style="4" customWidth="1"/>
    <col min="1275" max="1275" width="13.7109375" style="4" customWidth="1"/>
    <col min="1276" max="1276" width="9.28515625" style="4" customWidth="1"/>
    <col min="1277" max="1277" width="3" style="4" customWidth="1"/>
    <col min="1278" max="1278" width="1" style="4" customWidth="1"/>
    <col min="1279" max="1279" width="13.7109375" style="4" customWidth="1"/>
    <col min="1280" max="1280" width="1.140625" style="4" customWidth="1"/>
    <col min="1281" max="1281" width="1.28515625" style="4" customWidth="1"/>
    <col min="1282" max="1521" width="11.42578125" style="4"/>
    <col min="1522" max="1523" width="1.5703125" style="4" customWidth="1"/>
    <col min="1524" max="1524" width="1.28515625" style="4" customWidth="1"/>
    <col min="1525" max="1527" width="13.85546875" style="4" customWidth="1"/>
    <col min="1528" max="1528" width="1.42578125" style="4" customWidth="1"/>
    <col min="1529" max="1529" width="3.85546875" style="4" customWidth="1"/>
    <col min="1530" max="1530" width="1.5703125" style="4" customWidth="1"/>
    <col min="1531" max="1531" width="13.7109375" style="4" customWidth="1"/>
    <col min="1532" max="1532" width="9.28515625" style="4" customWidth="1"/>
    <col min="1533" max="1533" width="3" style="4" customWidth="1"/>
    <col min="1534" max="1534" width="1" style="4" customWidth="1"/>
    <col min="1535" max="1535" width="13.7109375" style="4" customWidth="1"/>
    <col min="1536" max="1536" width="1.140625" style="4" customWidth="1"/>
    <col min="1537" max="1537" width="1.28515625" style="4" customWidth="1"/>
    <col min="1538" max="1777" width="11.42578125" style="4"/>
    <col min="1778" max="1779" width="1.5703125" style="4" customWidth="1"/>
    <col min="1780" max="1780" width="1.28515625" style="4" customWidth="1"/>
    <col min="1781" max="1783" width="13.85546875" style="4" customWidth="1"/>
    <col min="1784" max="1784" width="1.42578125" style="4" customWidth="1"/>
    <col min="1785" max="1785" width="3.85546875" style="4" customWidth="1"/>
    <col min="1786" max="1786" width="1.5703125" style="4" customWidth="1"/>
    <col min="1787" max="1787" width="13.7109375" style="4" customWidth="1"/>
    <col min="1788" max="1788" width="9.28515625" style="4" customWidth="1"/>
    <col min="1789" max="1789" width="3" style="4" customWidth="1"/>
    <col min="1790" max="1790" width="1" style="4" customWidth="1"/>
    <col min="1791" max="1791" width="13.7109375" style="4" customWidth="1"/>
    <col min="1792" max="1792" width="1.140625" style="4" customWidth="1"/>
    <col min="1793" max="1793" width="1.28515625" style="4" customWidth="1"/>
    <col min="1794" max="2033" width="11.42578125" style="4"/>
    <col min="2034" max="2035" width="1.5703125" style="4" customWidth="1"/>
    <col min="2036" max="2036" width="1.28515625" style="4" customWidth="1"/>
    <col min="2037" max="2039" width="13.85546875" style="4" customWidth="1"/>
    <col min="2040" max="2040" width="1.42578125" style="4" customWidth="1"/>
    <col min="2041" max="2041" width="3.85546875" style="4" customWidth="1"/>
    <col min="2042" max="2042" width="1.5703125" style="4" customWidth="1"/>
    <col min="2043" max="2043" width="13.7109375" style="4" customWidth="1"/>
    <col min="2044" max="2044" width="9.28515625" style="4" customWidth="1"/>
    <col min="2045" max="2045" width="3" style="4" customWidth="1"/>
    <col min="2046" max="2046" width="1" style="4" customWidth="1"/>
    <col min="2047" max="2047" width="13.7109375" style="4" customWidth="1"/>
    <col min="2048" max="2048" width="1.140625" style="4" customWidth="1"/>
    <col min="2049" max="2049" width="1.28515625" style="4" customWidth="1"/>
    <col min="2050" max="2289" width="11.42578125" style="4"/>
    <col min="2290" max="2291" width="1.5703125" style="4" customWidth="1"/>
    <col min="2292" max="2292" width="1.28515625" style="4" customWidth="1"/>
    <col min="2293" max="2295" width="13.85546875" style="4" customWidth="1"/>
    <col min="2296" max="2296" width="1.42578125" style="4" customWidth="1"/>
    <col min="2297" max="2297" width="3.85546875" style="4" customWidth="1"/>
    <col min="2298" max="2298" width="1.5703125" style="4" customWidth="1"/>
    <col min="2299" max="2299" width="13.7109375" style="4" customWidth="1"/>
    <col min="2300" max="2300" width="9.28515625" style="4" customWidth="1"/>
    <col min="2301" max="2301" width="3" style="4" customWidth="1"/>
    <col min="2302" max="2302" width="1" style="4" customWidth="1"/>
    <col min="2303" max="2303" width="13.7109375" style="4" customWidth="1"/>
    <col min="2304" max="2304" width="1.140625" style="4" customWidth="1"/>
    <col min="2305" max="2305" width="1.28515625" style="4" customWidth="1"/>
    <col min="2306" max="2545" width="11.42578125" style="4"/>
    <col min="2546" max="2547" width="1.5703125" style="4" customWidth="1"/>
    <col min="2548" max="2548" width="1.28515625" style="4" customWidth="1"/>
    <col min="2549" max="2551" width="13.85546875" style="4" customWidth="1"/>
    <col min="2552" max="2552" width="1.42578125" style="4" customWidth="1"/>
    <col min="2553" max="2553" width="3.85546875" style="4" customWidth="1"/>
    <col min="2554" max="2554" width="1.5703125" style="4" customWidth="1"/>
    <col min="2555" max="2555" width="13.7109375" style="4" customWidth="1"/>
    <col min="2556" max="2556" width="9.28515625" style="4" customWidth="1"/>
    <col min="2557" max="2557" width="3" style="4" customWidth="1"/>
    <col min="2558" max="2558" width="1" style="4" customWidth="1"/>
    <col min="2559" max="2559" width="13.7109375" style="4" customWidth="1"/>
    <col min="2560" max="2560" width="1.140625" style="4" customWidth="1"/>
    <col min="2561" max="2561" width="1.28515625" style="4" customWidth="1"/>
    <col min="2562" max="2801" width="11.42578125" style="4"/>
    <col min="2802" max="2803" width="1.5703125" style="4" customWidth="1"/>
    <col min="2804" max="2804" width="1.28515625" style="4" customWidth="1"/>
    <col min="2805" max="2807" width="13.85546875" style="4" customWidth="1"/>
    <col min="2808" max="2808" width="1.42578125" style="4" customWidth="1"/>
    <col min="2809" max="2809" width="3.85546875" style="4" customWidth="1"/>
    <col min="2810" max="2810" width="1.5703125" style="4" customWidth="1"/>
    <col min="2811" max="2811" width="13.7109375" style="4" customWidth="1"/>
    <col min="2812" max="2812" width="9.28515625" style="4" customWidth="1"/>
    <col min="2813" max="2813" width="3" style="4" customWidth="1"/>
    <col min="2814" max="2814" width="1" style="4" customWidth="1"/>
    <col min="2815" max="2815" width="13.7109375" style="4" customWidth="1"/>
    <col min="2816" max="2816" width="1.140625" style="4" customWidth="1"/>
    <col min="2817" max="2817" width="1.28515625" style="4" customWidth="1"/>
    <col min="2818" max="3057" width="11.42578125" style="4"/>
    <col min="3058" max="3059" width="1.5703125" style="4" customWidth="1"/>
    <col min="3060" max="3060" width="1.28515625" style="4" customWidth="1"/>
    <col min="3061" max="3063" width="13.85546875" style="4" customWidth="1"/>
    <col min="3064" max="3064" width="1.42578125" style="4" customWidth="1"/>
    <col min="3065" max="3065" width="3.85546875" style="4" customWidth="1"/>
    <col min="3066" max="3066" width="1.5703125" style="4" customWidth="1"/>
    <col min="3067" max="3067" width="13.7109375" style="4" customWidth="1"/>
    <col min="3068" max="3068" width="9.28515625" style="4" customWidth="1"/>
    <col min="3069" max="3069" width="3" style="4" customWidth="1"/>
    <col min="3070" max="3070" width="1" style="4" customWidth="1"/>
    <col min="3071" max="3071" width="13.7109375" style="4" customWidth="1"/>
    <col min="3072" max="3072" width="1.140625" style="4" customWidth="1"/>
    <col min="3073" max="3073" width="1.28515625" style="4" customWidth="1"/>
    <col min="3074" max="3313" width="11.42578125" style="4"/>
    <col min="3314" max="3315" width="1.5703125" style="4" customWidth="1"/>
    <col min="3316" max="3316" width="1.28515625" style="4" customWidth="1"/>
    <col min="3317" max="3319" width="13.85546875" style="4" customWidth="1"/>
    <col min="3320" max="3320" width="1.42578125" style="4" customWidth="1"/>
    <col min="3321" max="3321" width="3.85546875" style="4" customWidth="1"/>
    <col min="3322" max="3322" width="1.5703125" style="4" customWidth="1"/>
    <col min="3323" max="3323" width="13.7109375" style="4" customWidth="1"/>
    <col min="3324" max="3324" width="9.28515625" style="4" customWidth="1"/>
    <col min="3325" max="3325" width="3" style="4" customWidth="1"/>
    <col min="3326" max="3326" width="1" style="4" customWidth="1"/>
    <col min="3327" max="3327" width="13.7109375" style="4" customWidth="1"/>
    <col min="3328" max="3328" width="1.140625" style="4" customWidth="1"/>
    <col min="3329" max="3329" width="1.28515625" style="4" customWidth="1"/>
    <col min="3330" max="3569" width="11.42578125" style="4"/>
    <col min="3570" max="3571" width="1.5703125" style="4" customWidth="1"/>
    <col min="3572" max="3572" width="1.28515625" style="4" customWidth="1"/>
    <col min="3573" max="3575" width="13.85546875" style="4" customWidth="1"/>
    <col min="3576" max="3576" width="1.42578125" style="4" customWidth="1"/>
    <col min="3577" max="3577" width="3.85546875" style="4" customWidth="1"/>
    <col min="3578" max="3578" width="1.5703125" style="4" customWidth="1"/>
    <col min="3579" max="3579" width="13.7109375" style="4" customWidth="1"/>
    <col min="3580" max="3580" width="9.28515625" style="4" customWidth="1"/>
    <col min="3581" max="3581" width="3" style="4" customWidth="1"/>
    <col min="3582" max="3582" width="1" style="4" customWidth="1"/>
    <col min="3583" max="3583" width="13.7109375" style="4" customWidth="1"/>
    <col min="3584" max="3584" width="1.140625" style="4" customWidth="1"/>
    <col min="3585" max="3585" width="1.28515625" style="4" customWidth="1"/>
    <col min="3586" max="3825" width="11.42578125" style="4"/>
    <col min="3826" max="3827" width="1.5703125" style="4" customWidth="1"/>
    <col min="3828" max="3828" width="1.28515625" style="4" customWidth="1"/>
    <col min="3829" max="3831" width="13.85546875" style="4" customWidth="1"/>
    <col min="3832" max="3832" width="1.42578125" style="4" customWidth="1"/>
    <col min="3833" max="3833" width="3.85546875" style="4" customWidth="1"/>
    <col min="3834" max="3834" width="1.5703125" style="4" customWidth="1"/>
    <col min="3835" max="3835" width="13.7109375" style="4" customWidth="1"/>
    <col min="3836" max="3836" width="9.28515625" style="4" customWidth="1"/>
    <col min="3837" max="3837" width="3" style="4" customWidth="1"/>
    <col min="3838" max="3838" width="1" style="4" customWidth="1"/>
    <col min="3839" max="3839" width="13.7109375" style="4" customWidth="1"/>
    <col min="3840" max="3840" width="1.140625" style="4" customWidth="1"/>
    <col min="3841" max="3841" width="1.28515625" style="4" customWidth="1"/>
    <col min="3842" max="4081" width="11.42578125" style="4"/>
    <col min="4082" max="4083" width="1.5703125" style="4" customWidth="1"/>
    <col min="4084" max="4084" width="1.28515625" style="4" customWidth="1"/>
    <col min="4085" max="4087" width="13.85546875" style="4" customWidth="1"/>
    <col min="4088" max="4088" width="1.42578125" style="4" customWidth="1"/>
    <col min="4089" max="4089" width="3.85546875" style="4" customWidth="1"/>
    <col min="4090" max="4090" width="1.5703125" style="4" customWidth="1"/>
    <col min="4091" max="4091" width="13.7109375" style="4" customWidth="1"/>
    <col min="4092" max="4092" width="9.28515625" style="4" customWidth="1"/>
    <col min="4093" max="4093" width="3" style="4" customWidth="1"/>
    <col min="4094" max="4094" width="1" style="4" customWidth="1"/>
    <col min="4095" max="4095" width="13.7109375" style="4" customWidth="1"/>
    <col min="4096" max="4096" width="1.140625" style="4" customWidth="1"/>
    <col min="4097" max="4097" width="1.28515625" style="4" customWidth="1"/>
    <col min="4098" max="4337" width="11.42578125" style="4"/>
    <col min="4338" max="4339" width="1.5703125" style="4" customWidth="1"/>
    <col min="4340" max="4340" width="1.28515625" style="4" customWidth="1"/>
    <col min="4341" max="4343" width="13.85546875" style="4" customWidth="1"/>
    <col min="4344" max="4344" width="1.42578125" style="4" customWidth="1"/>
    <col min="4345" max="4345" width="3.85546875" style="4" customWidth="1"/>
    <col min="4346" max="4346" width="1.5703125" style="4" customWidth="1"/>
    <col min="4347" max="4347" width="13.7109375" style="4" customWidth="1"/>
    <col min="4348" max="4348" width="9.28515625" style="4" customWidth="1"/>
    <col min="4349" max="4349" width="3" style="4" customWidth="1"/>
    <col min="4350" max="4350" width="1" style="4" customWidth="1"/>
    <col min="4351" max="4351" width="13.7109375" style="4" customWidth="1"/>
    <col min="4352" max="4352" width="1.140625" style="4" customWidth="1"/>
    <col min="4353" max="4353" width="1.28515625" style="4" customWidth="1"/>
    <col min="4354" max="4593" width="11.42578125" style="4"/>
    <col min="4594" max="4595" width="1.5703125" style="4" customWidth="1"/>
    <col min="4596" max="4596" width="1.28515625" style="4" customWidth="1"/>
    <col min="4597" max="4599" width="13.85546875" style="4" customWidth="1"/>
    <col min="4600" max="4600" width="1.42578125" style="4" customWidth="1"/>
    <col min="4601" max="4601" width="3.85546875" style="4" customWidth="1"/>
    <col min="4602" max="4602" width="1.5703125" style="4" customWidth="1"/>
    <col min="4603" max="4603" width="13.7109375" style="4" customWidth="1"/>
    <col min="4604" max="4604" width="9.28515625" style="4" customWidth="1"/>
    <col min="4605" max="4605" width="3" style="4" customWidth="1"/>
    <col min="4606" max="4606" width="1" style="4" customWidth="1"/>
    <col min="4607" max="4607" width="13.7109375" style="4" customWidth="1"/>
    <col min="4608" max="4608" width="1.140625" style="4" customWidth="1"/>
    <col min="4609" max="4609" width="1.28515625" style="4" customWidth="1"/>
    <col min="4610" max="4849" width="11.42578125" style="4"/>
    <col min="4850" max="4851" width="1.5703125" style="4" customWidth="1"/>
    <col min="4852" max="4852" width="1.28515625" style="4" customWidth="1"/>
    <col min="4853" max="4855" width="13.85546875" style="4" customWidth="1"/>
    <col min="4856" max="4856" width="1.42578125" style="4" customWidth="1"/>
    <col min="4857" max="4857" width="3.85546875" style="4" customWidth="1"/>
    <col min="4858" max="4858" width="1.5703125" style="4" customWidth="1"/>
    <col min="4859" max="4859" width="13.7109375" style="4" customWidth="1"/>
    <col min="4860" max="4860" width="9.28515625" style="4" customWidth="1"/>
    <col min="4861" max="4861" width="3" style="4" customWidth="1"/>
    <col min="4862" max="4862" width="1" style="4" customWidth="1"/>
    <col min="4863" max="4863" width="13.7109375" style="4" customWidth="1"/>
    <col min="4864" max="4864" width="1.140625" style="4" customWidth="1"/>
    <col min="4865" max="4865" width="1.28515625" style="4" customWidth="1"/>
    <col min="4866" max="5105" width="11.42578125" style="4"/>
    <col min="5106" max="5107" width="1.5703125" style="4" customWidth="1"/>
    <col min="5108" max="5108" width="1.28515625" style="4" customWidth="1"/>
    <col min="5109" max="5111" width="13.85546875" style="4" customWidth="1"/>
    <col min="5112" max="5112" width="1.42578125" style="4" customWidth="1"/>
    <col min="5113" max="5113" width="3.85546875" style="4" customWidth="1"/>
    <col min="5114" max="5114" width="1.5703125" style="4" customWidth="1"/>
    <col min="5115" max="5115" width="13.7109375" style="4" customWidth="1"/>
    <col min="5116" max="5116" width="9.28515625" style="4" customWidth="1"/>
    <col min="5117" max="5117" width="3" style="4" customWidth="1"/>
    <col min="5118" max="5118" width="1" style="4" customWidth="1"/>
    <col min="5119" max="5119" width="13.7109375" style="4" customWidth="1"/>
    <col min="5120" max="5120" width="1.140625" style="4" customWidth="1"/>
    <col min="5121" max="5121" width="1.28515625" style="4" customWidth="1"/>
    <col min="5122" max="5361" width="11.42578125" style="4"/>
    <col min="5362" max="5363" width="1.5703125" style="4" customWidth="1"/>
    <col min="5364" max="5364" width="1.28515625" style="4" customWidth="1"/>
    <col min="5365" max="5367" width="13.85546875" style="4" customWidth="1"/>
    <col min="5368" max="5368" width="1.42578125" style="4" customWidth="1"/>
    <col min="5369" max="5369" width="3.85546875" style="4" customWidth="1"/>
    <col min="5370" max="5370" width="1.5703125" style="4" customWidth="1"/>
    <col min="5371" max="5371" width="13.7109375" style="4" customWidth="1"/>
    <col min="5372" max="5372" width="9.28515625" style="4" customWidth="1"/>
    <col min="5373" max="5373" width="3" style="4" customWidth="1"/>
    <col min="5374" max="5374" width="1" style="4" customWidth="1"/>
    <col min="5375" max="5375" width="13.7109375" style="4" customWidth="1"/>
    <col min="5376" max="5376" width="1.140625" style="4" customWidth="1"/>
    <col min="5377" max="5377" width="1.28515625" style="4" customWidth="1"/>
    <col min="5378" max="5617" width="11.42578125" style="4"/>
    <col min="5618" max="5619" width="1.5703125" style="4" customWidth="1"/>
    <col min="5620" max="5620" width="1.28515625" style="4" customWidth="1"/>
    <col min="5621" max="5623" width="13.85546875" style="4" customWidth="1"/>
    <col min="5624" max="5624" width="1.42578125" style="4" customWidth="1"/>
    <col min="5625" max="5625" width="3.85546875" style="4" customWidth="1"/>
    <col min="5626" max="5626" width="1.5703125" style="4" customWidth="1"/>
    <col min="5627" max="5627" width="13.7109375" style="4" customWidth="1"/>
    <col min="5628" max="5628" width="9.28515625" style="4" customWidth="1"/>
    <col min="5629" max="5629" width="3" style="4" customWidth="1"/>
    <col min="5630" max="5630" width="1" style="4" customWidth="1"/>
    <col min="5631" max="5631" width="13.7109375" style="4" customWidth="1"/>
    <col min="5632" max="5632" width="1.140625" style="4" customWidth="1"/>
    <col min="5633" max="5633" width="1.28515625" style="4" customWidth="1"/>
    <col min="5634" max="5873" width="11.42578125" style="4"/>
    <col min="5874" max="5875" width="1.5703125" style="4" customWidth="1"/>
    <col min="5876" max="5876" width="1.28515625" style="4" customWidth="1"/>
    <col min="5877" max="5879" width="13.85546875" style="4" customWidth="1"/>
    <col min="5880" max="5880" width="1.42578125" style="4" customWidth="1"/>
    <col min="5881" max="5881" width="3.85546875" style="4" customWidth="1"/>
    <col min="5882" max="5882" width="1.5703125" style="4" customWidth="1"/>
    <col min="5883" max="5883" width="13.7109375" style="4" customWidth="1"/>
    <col min="5884" max="5884" width="9.28515625" style="4" customWidth="1"/>
    <col min="5885" max="5885" width="3" style="4" customWidth="1"/>
    <col min="5886" max="5886" width="1" style="4" customWidth="1"/>
    <col min="5887" max="5887" width="13.7109375" style="4" customWidth="1"/>
    <col min="5888" max="5888" width="1.140625" style="4" customWidth="1"/>
    <col min="5889" max="5889" width="1.28515625" style="4" customWidth="1"/>
    <col min="5890" max="6129" width="11.42578125" style="4"/>
    <col min="6130" max="6131" width="1.5703125" style="4" customWidth="1"/>
    <col min="6132" max="6132" width="1.28515625" style="4" customWidth="1"/>
    <col min="6133" max="6135" width="13.85546875" style="4" customWidth="1"/>
    <col min="6136" max="6136" width="1.42578125" style="4" customWidth="1"/>
    <col min="6137" max="6137" width="3.85546875" style="4" customWidth="1"/>
    <col min="6138" max="6138" width="1.5703125" style="4" customWidth="1"/>
    <col min="6139" max="6139" width="13.7109375" style="4" customWidth="1"/>
    <col min="6140" max="6140" width="9.28515625" style="4" customWidth="1"/>
    <col min="6141" max="6141" width="3" style="4" customWidth="1"/>
    <col min="6142" max="6142" width="1" style="4" customWidth="1"/>
    <col min="6143" max="6143" width="13.7109375" style="4" customWidth="1"/>
    <col min="6144" max="6144" width="1.140625" style="4" customWidth="1"/>
    <col min="6145" max="6145" width="1.28515625" style="4" customWidth="1"/>
    <col min="6146" max="6385" width="11.42578125" style="4"/>
    <col min="6386" max="6387" width="1.5703125" style="4" customWidth="1"/>
    <col min="6388" max="6388" width="1.28515625" style="4" customWidth="1"/>
    <col min="6389" max="6391" width="13.85546875" style="4" customWidth="1"/>
    <col min="6392" max="6392" width="1.42578125" style="4" customWidth="1"/>
    <col min="6393" max="6393" width="3.85546875" style="4" customWidth="1"/>
    <col min="6394" max="6394" width="1.5703125" style="4" customWidth="1"/>
    <col min="6395" max="6395" width="13.7109375" style="4" customWidth="1"/>
    <col min="6396" max="6396" width="9.28515625" style="4" customWidth="1"/>
    <col min="6397" max="6397" width="3" style="4" customWidth="1"/>
    <col min="6398" max="6398" width="1" style="4" customWidth="1"/>
    <col min="6399" max="6399" width="13.7109375" style="4" customWidth="1"/>
    <col min="6400" max="6400" width="1.140625" style="4" customWidth="1"/>
    <col min="6401" max="6401" width="1.28515625" style="4" customWidth="1"/>
    <col min="6402" max="6641" width="11.42578125" style="4"/>
    <col min="6642" max="6643" width="1.5703125" style="4" customWidth="1"/>
    <col min="6644" max="6644" width="1.28515625" style="4" customWidth="1"/>
    <col min="6645" max="6647" width="13.85546875" style="4" customWidth="1"/>
    <col min="6648" max="6648" width="1.42578125" style="4" customWidth="1"/>
    <col min="6649" max="6649" width="3.85546875" style="4" customWidth="1"/>
    <col min="6650" max="6650" width="1.5703125" style="4" customWidth="1"/>
    <col min="6651" max="6651" width="13.7109375" style="4" customWidth="1"/>
    <col min="6652" max="6652" width="9.28515625" style="4" customWidth="1"/>
    <col min="6653" max="6653" width="3" style="4" customWidth="1"/>
    <col min="6654" max="6654" width="1" style="4" customWidth="1"/>
    <col min="6655" max="6655" width="13.7109375" style="4" customWidth="1"/>
    <col min="6656" max="6656" width="1.140625" style="4" customWidth="1"/>
    <col min="6657" max="6657" width="1.28515625" style="4" customWidth="1"/>
    <col min="6658" max="6897" width="11.42578125" style="4"/>
    <col min="6898" max="6899" width="1.5703125" style="4" customWidth="1"/>
    <col min="6900" max="6900" width="1.28515625" style="4" customWidth="1"/>
    <col min="6901" max="6903" width="13.85546875" style="4" customWidth="1"/>
    <col min="6904" max="6904" width="1.42578125" style="4" customWidth="1"/>
    <col min="6905" max="6905" width="3.85546875" style="4" customWidth="1"/>
    <col min="6906" max="6906" width="1.5703125" style="4" customWidth="1"/>
    <col min="6907" max="6907" width="13.7109375" style="4" customWidth="1"/>
    <col min="6908" max="6908" width="9.28515625" style="4" customWidth="1"/>
    <col min="6909" max="6909" width="3" style="4" customWidth="1"/>
    <col min="6910" max="6910" width="1" style="4" customWidth="1"/>
    <col min="6911" max="6911" width="13.7109375" style="4" customWidth="1"/>
    <col min="6912" max="6912" width="1.140625" style="4" customWidth="1"/>
    <col min="6913" max="6913" width="1.28515625" style="4" customWidth="1"/>
    <col min="6914" max="7153" width="11.42578125" style="4"/>
    <col min="7154" max="7155" width="1.5703125" style="4" customWidth="1"/>
    <col min="7156" max="7156" width="1.28515625" style="4" customWidth="1"/>
    <col min="7157" max="7159" width="13.85546875" style="4" customWidth="1"/>
    <col min="7160" max="7160" width="1.42578125" style="4" customWidth="1"/>
    <col min="7161" max="7161" width="3.85546875" style="4" customWidth="1"/>
    <col min="7162" max="7162" width="1.5703125" style="4" customWidth="1"/>
    <col min="7163" max="7163" width="13.7109375" style="4" customWidth="1"/>
    <col min="7164" max="7164" width="9.28515625" style="4" customWidth="1"/>
    <col min="7165" max="7165" width="3" style="4" customWidth="1"/>
    <col min="7166" max="7166" width="1" style="4" customWidth="1"/>
    <col min="7167" max="7167" width="13.7109375" style="4" customWidth="1"/>
    <col min="7168" max="7168" width="1.140625" style="4" customWidth="1"/>
    <col min="7169" max="7169" width="1.28515625" style="4" customWidth="1"/>
    <col min="7170" max="7409" width="11.42578125" style="4"/>
    <col min="7410" max="7411" width="1.5703125" style="4" customWidth="1"/>
    <col min="7412" max="7412" width="1.28515625" style="4" customWidth="1"/>
    <col min="7413" max="7415" width="13.85546875" style="4" customWidth="1"/>
    <col min="7416" max="7416" width="1.42578125" style="4" customWidth="1"/>
    <col min="7417" max="7417" width="3.85546875" style="4" customWidth="1"/>
    <col min="7418" max="7418" width="1.5703125" style="4" customWidth="1"/>
    <col min="7419" max="7419" width="13.7109375" style="4" customWidth="1"/>
    <col min="7420" max="7420" width="9.28515625" style="4" customWidth="1"/>
    <col min="7421" max="7421" width="3" style="4" customWidth="1"/>
    <col min="7422" max="7422" width="1" style="4" customWidth="1"/>
    <col min="7423" max="7423" width="13.7109375" style="4" customWidth="1"/>
    <col min="7424" max="7424" width="1.140625" style="4" customWidth="1"/>
    <col min="7425" max="7425" width="1.28515625" style="4" customWidth="1"/>
    <col min="7426" max="7665" width="11.42578125" style="4"/>
    <col min="7666" max="7667" width="1.5703125" style="4" customWidth="1"/>
    <col min="7668" max="7668" width="1.28515625" style="4" customWidth="1"/>
    <col min="7669" max="7671" width="13.85546875" style="4" customWidth="1"/>
    <col min="7672" max="7672" width="1.42578125" style="4" customWidth="1"/>
    <col min="7673" max="7673" width="3.85546875" style="4" customWidth="1"/>
    <col min="7674" max="7674" width="1.5703125" style="4" customWidth="1"/>
    <col min="7675" max="7675" width="13.7109375" style="4" customWidth="1"/>
    <col min="7676" max="7676" width="9.28515625" style="4" customWidth="1"/>
    <col min="7677" max="7677" width="3" style="4" customWidth="1"/>
    <col min="7678" max="7678" width="1" style="4" customWidth="1"/>
    <col min="7679" max="7679" width="13.7109375" style="4" customWidth="1"/>
    <col min="7680" max="7680" width="1.140625" style="4" customWidth="1"/>
    <col min="7681" max="7681" width="1.28515625" style="4" customWidth="1"/>
    <col min="7682" max="7921" width="11.42578125" style="4"/>
    <col min="7922" max="7923" width="1.5703125" style="4" customWidth="1"/>
    <col min="7924" max="7924" width="1.28515625" style="4" customWidth="1"/>
    <col min="7925" max="7927" width="13.85546875" style="4" customWidth="1"/>
    <col min="7928" max="7928" width="1.42578125" style="4" customWidth="1"/>
    <col min="7929" max="7929" width="3.85546875" style="4" customWidth="1"/>
    <col min="7930" max="7930" width="1.5703125" style="4" customWidth="1"/>
    <col min="7931" max="7931" width="13.7109375" style="4" customWidth="1"/>
    <col min="7932" max="7932" width="9.28515625" style="4" customWidth="1"/>
    <col min="7933" max="7933" width="3" style="4" customWidth="1"/>
    <col min="7934" max="7934" width="1" style="4" customWidth="1"/>
    <col min="7935" max="7935" width="13.7109375" style="4" customWidth="1"/>
    <col min="7936" max="7936" width="1.140625" style="4" customWidth="1"/>
    <col min="7937" max="7937" width="1.28515625" style="4" customWidth="1"/>
    <col min="7938" max="8177" width="11.42578125" style="4"/>
    <col min="8178" max="8179" width="1.5703125" style="4" customWidth="1"/>
    <col min="8180" max="8180" width="1.28515625" style="4" customWidth="1"/>
    <col min="8181" max="8183" width="13.85546875" style="4" customWidth="1"/>
    <col min="8184" max="8184" width="1.42578125" style="4" customWidth="1"/>
    <col min="8185" max="8185" width="3.85546875" style="4" customWidth="1"/>
    <col min="8186" max="8186" width="1.5703125" style="4" customWidth="1"/>
    <col min="8187" max="8187" width="13.7109375" style="4" customWidth="1"/>
    <col min="8188" max="8188" width="9.28515625" style="4" customWidth="1"/>
    <col min="8189" max="8189" width="3" style="4" customWidth="1"/>
    <col min="8190" max="8190" width="1" style="4" customWidth="1"/>
    <col min="8191" max="8191" width="13.7109375" style="4" customWidth="1"/>
    <col min="8192" max="8192" width="1.140625" style="4" customWidth="1"/>
    <col min="8193" max="8193" width="1.28515625" style="4" customWidth="1"/>
    <col min="8194" max="8433" width="11.42578125" style="4"/>
    <col min="8434" max="8435" width="1.5703125" style="4" customWidth="1"/>
    <col min="8436" max="8436" width="1.28515625" style="4" customWidth="1"/>
    <col min="8437" max="8439" width="13.85546875" style="4" customWidth="1"/>
    <col min="8440" max="8440" width="1.42578125" style="4" customWidth="1"/>
    <col min="8441" max="8441" width="3.85546875" style="4" customWidth="1"/>
    <col min="8442" max="8442" width="1.5703125" style="4" customWidth="1"/>
    <col min="8443" max="8443" width="13.7109375" style="4" customWidth="1"/>
    <col min="8444" max="8444" width="9.28515625" style="4" customWidth="1"/>
    <col min="8445" max="8445" width="3" style="4" customWidth="1"/>
    <col min="8446" max="8446" width="1" style="4" customWidth="1"/>
    <col min="8447" max="8447" width="13.7109375" style="4" customWidth="1"/>
    <col min="8448" max="8448" width="1.140625" style="4" customWidth="1"/>
    <col min="8449" max="8449" width="1.28515625" style="4" customWidth="1"/>
    <col min="8450" max="8689" width="11.42578125" style="4"/>
    <col min="8690" max="8691" width="1.5703125" style="4" customWidth="1"/>
    <col min="8692" max="8692" width="1.28515625" style="4" customWidth="1"/>
    <col min="8693" max="8695" width="13.85546875" style="4" customWidth="1"/>
    <col min="8696" max="8696" width="1.42578125" style="4" customWidth="1"/>
    <col min="8697" max="8697" width="3.85546875" style="4" customWidth="1"/>
    <col min="8698" max="8698" width="1.5703125" style="4" customWidth="1"/>
    <col min="8699" max="8699" width="13.7109375" style="4" customWidth="1"/>
    <col min="8700" max="8700" width="9.28515625" style="4" customWidth="1"/>
    <col min="8701" max="8701" width="3" style="4" customWidth="1"/>
    <col min="8702" max="8702" width="1" style="4" customWidth="1"/>
    <col min="8703" max="8703" width="13.7109375" style="4" customWidth="1"/>
    <col min="8704" max="8704" width="1.140625" style="4" customWidth="1"/>
    <col min="8705" max="8705" width="1.28515625" style="4" customWidth="1"/>
    <col min="8706" max="8945" width="11.42578125" style="4"/>
    <col min="8946" max="8947" width="1.5703125" style="4" customWidth="1"/>
    <col min="8948" max="8948" width="1.28515625" style="4" customWidth="1"/>
    <col min="8949" max="8951" width="13.85546875" style="4" customWidth="1"/>
    <col min="8952" max="8952" width="1.42578125" style="4" customWidth="1"/>
    <col min="8953" max="8953" width="3.85546875" style="4" customWidth="1"/>
    <col min="8954" max="8954" width="1.5703125" style="4" customWidth="1"/>
    <col min="8955" max="8955" width="13.7109375" style="4" customWidth="1"/>
    <col min="8956" max="8956" width="9.28515625" style="4" customWidth="1"/>
    <col min="8957" max="8957" width="3" style="4" customWidth="1"/>
    <col min="8958" max="8958" width="1" style="4" customWidth="1"/>
    <col min="8959" max="8959" width="13.7109375" style="4" customWidth="1"/>
    <col min="8960" max="8960" width="1.140625" style="4" customWidth="1"/>
    <col min="8961" max="8961" width="1.28515625" style="4" customWidth="1"/>
    <col min="8962" max="9201" width="11.42578125" style="4"/>
    <col min="9202" max="9203" width="1.5703125" style="4" customWidth="1"/>
    <col min="9204" max="9204" width="1.28515625" style="4" customWidth="1"/>
    <col min="9205" max="9207" width="13.85546875" style="4" customWidth="1"/>
    <col min="9208" max="9208" width="1.42578125" style="4" customWidth="1"/>
    <col min="9209" max="9209" width="3.85546875" style="4" customWidth="1"/>
    <col min="9210" max="9210" width="1.5703125" style="4" customWidth="1"/>
    <col min="9211" max="9211" width="13.7109375" style="4" customWidth="1"/>
    <col min="9212" max="9212" width="9.28515625" style="4" customWidth="1"/>
    <col min="9213" max="9213" width="3" style="4" customWidth="1"/>
    <col min="9214" max="9214" width="1" style="4" customWidth="1"/>
    <col min="9215" max="9215" width="13.7109375" style="4" customWidth="1"/>
    <col min="9216" max="9216" width="1.140625" style="4" customWidth="1"/>
    <col min="9217" max="9217" width="1.28515625" style="4" customWidth="1"/>
    <col min="9218" max="9457" width="11.42578125" style="4"/>
    <col min="9458" max="9459" width="1.5703125" style="4" customWidth="1"/>
    <col min="9460" max="9460" width="1.28515625" style="4" customWidth="1"/>
    <col min="9461" max="9463" width="13.85546875" style="4" customWidth="1"/>
    <col min="9464" max="9464" width="1.42578125" style="4" customWidth="1"/>
    <col min="9465" max="9465" width="3.85546875" style="4" customWidth="1"/>
    <col min="9466" max="9466" width="1.5703125" style="4" customWidth="1"/>
    <col min="9467" max="9467" width="13.7109375" style="4" customWidth="1"/>
    <col min="9468" max="9468" width="9.28515625" style="4" customWidth="1"/>
    <col min="9469" max="9469" width="3" style="4" customWidth="1"/>
    <col min="9470" max="9470" width="1" style="4" customWidth="1"/>
    <col min="9471" max="9471" width="13.7109375" style="4" customWidth="1"/>
    <col min="9472" max="9472" width="1.140625" style="4" customWidth="1"/>
    <col min="9473" max="9473" width="1.28515625" style="4" customWidth="1"/>
    <col min="9474" max="9713" width="11.42578125" style="4"/>
    <col min="9714" max="9715" width="1.5703125" style="4" customWidth="1"/>
    <col min="9716" max="9716" width="1.28515625" style="4" customWidth="1"/>
    <col min="9717" max="9719" width="13.85546875" style="4" customWidth="1"/>
    <col min="9720" max="9720" width="1.42578125" style="4" customWidth="1"/>
    <col min="9721" max="9721" width="3.85546875" style="4" customWidth="1"/>
    <col min="9722" max="9722" width="1.5703125" style="4" customWidth="1"/>
    <col min="9723" max="9723" width="13.7109375" style="4" customWidth="1"/>
    <col min="9724" max="9724" width="9.28515625" style="4" customWidth="1"/>
    <col min="9725" max="9725" width="3" style="4" customWidth="1"/>
    <col min="9726" max="9726" width="1" style="4" customWidth="1"/>
    <col min="9727" max="9727" width="13.7109375" style="4" customWidth="1"/>
    <col min="9728" max="9728" width="1.140625" style="4" customWidth="1"/>
    <col min="9729" max="9729" width="1.28515625" style="4" customWidth="1"/>
    <col min="9730" max="9969" width="11.42578125" style="4"/>
    <col min="9970" max="9971" width="1.5703125" style="4" customWidth="1"/>
    <col min="9972" max="9972" width="1.28515625" style="4" customWidth="1"/>
    <col min="9973" max="9975" width="13.85546875" style="4" customWidth="1"/>
    <col min="9976" max="9976" width="1.42578125" style="4" customWidth="1"/>
    <col min="9977" max="9977" width="3.85546875" style="4" customWidth="1"/>
    <col min="9978" max="9978" width="1.5703125" style="4" customWidth="1"/>
    <col min="9979" max="9979" width="13.7109375" style="4" customWidth="1"/>
    <col min="9980" max="9980" width="9.28515625" style="4" customWidth="1"/>
    <col min="9981" max="9981" width="3" style="4" customWidth="1"/>
    <col min="9982" max="9982" width="1" style="4" customWidth="1"/>
    <col min="9983" max="9983" width="13.7109375" style="4" customWidth="1"/>
    <col min="9984" max="9984" width="1.140625" style="4" customWidth="1"/>
    <col min="9985" max="9985" width="1.28515625" style="4" customWidth="1"/>
    <col min="9986" max="10225" width="11.42578125" style="4"/>
    <col min="10226" max="10227" width="1.5703125" style="4" customWidth="1"/>
    <col min="10228" max="10228" width="1.28515625" style="4" customWidth="1"/>
    <col min="10229" max="10231" width="13.85546875" style="4" customWidth="1"/>
    <col min="10232" max="10232" width="1.42578125" style="4" customWidth="1"/>
    <col min="10233" max="10233" width="3.85546875" style="4" customWidth="1"/>
    <col min="10234" max="10234" width="1.5703125" style="4" customWidth="1"/>
    <col min="10235" max="10235" width="13.7109375" style="4" customWidth="1"/>
    <col min="10236" max="10236" width="9.28515625" style="4" customWidth="1"/>
    <col min="10237" max="10237" width="3" style="4" customWidth="1"/>
    <col min="10238" max="10238" width="1" style="4" customWidth="1"/>
    <col min="10239" max="10239" width="13.7109375" style="4" customWidth="1"/>
    <col min="10240" max="10240" width="1.140625" style="4" customWidth="1"/>
    <col min="10241" max="10241" width="1.28515625" style="4" customWidth="1"/>
    <col min="10242" max="10481" width="11.42578125" style="4"/>
    <col min="10482" max="10483" width="1.5703125" style="4" customWidth="1"/>
    <col min="10484" max="10484" width="1.28515625" style="4" customWidth="1"/>
    <col min="10485" max="10487" width="13.85546875" style="4" customWidth="1"/>
    <col min="10488" max="10488" width="1.42578125" style="4" customWidth="1"/>
    <col min="10489" max="10489" width="3.85546875" style="4" customWidth="1"/>
    <col min="10490" max="10490" width="1.5703125" style="4" customWidth="1"/>
    <col min="10491" max="10491" width="13.7109375" style="4" customWidth="1"/>
    <col min="10492" max="10492" width="9.28515625" style="4" customWidth="1"/>
    <col min="10493" max="10493" width="3" style="4" customWidth="1"/>
    <col min="10494" max="10494" width="1" style="4" customWidth="1"/>
    <col min="10495" max="10495" width="13.7109375" style="4" customWidth="1"/>
    <col min="10496" max="10496" width="1.140625" style="4" customWidth="1"/>
    <col min="10497" max="10497" width="1.28515625" style="4" customWidth="1"/>
    <col min="10498" max="10737" width="11.42578125" style="4"/>
    <col min="10738" max="10739" width="1.5703125" style="4" customWidth="1"/>
    <col min="10740" max="10740" width="1.28515625" style="4" customWidth="1"/>
    <col min="10741" max="10743" width="13.85546875" style="4" customWidth="1"/>
    <col min="10744" max="10744" width="1.42578125" style="4" customWidth="1"/>
    <col min="10745" max="10745" width="3.85546875" style="4" customWidth="1"/>
    <col min="10746" max="10746" width="1.5703125" style="4" customWidth="1"/>
    <col min="10747" max="10747" width="13.7109375" style="4" customWidth="1"/>
    <col min="10748" max="10748" width="9.28515625" style="4" customWidth="1"/>
    <col min="10749" max="10749" width="3" style="4" customWidth="1"/>
    <col min="10750" max="10750" width="1" style="4" customWidth="1"/>
    <col min="10751" max="10751" width="13.7109375" style="4" customWidth="1"/>
    <col min="10752" max="10752" width="1.140625" style="4" customWidth="1"/>
    <col min="10753" max="10753" width="1.28515625" style="4" customWidth="1"/>
    <col min="10754" max="10993" width="11.42578125" style="4"/>
    <col min="10994" max="10995" width="1.5703125" style="4" customWidth="1"/>
    <col min="10996" max="10996" width="1.28515625" style="4" customWidth="1"/>
    <col min="10997" max="10999" width="13.85546875" style="4" customWidth="1"/>
    <col min="11000" max="11000" width="1.42578125" style="4" customWidth="1"/>
    <col min="11001" max="11001" width="3.85546875" style="4" customWidth="1"/>
    <col min="11002" max="11002" width="1.5703125" style="4" customWidth="1"/>
    <col min="11003" max="11003" width="13.7109375" style="4" customWidth="1"/>
    <col min="11004" max="11004" width="9.28515625" style="4" customWidth="1"/>
    <col min="11005" max="11005" width="3" style="4" customWidth="1"/>
    <col min="11006" max="11006" width="1" style="4" customWidth="1"/>
    <col min="11007" max="11007" width="13.7109375" style="4" customWidth="1"/>
    <col min="11008" max="11008" width="1.140625" style="4" customWidth="1"/>
    <col min="11009" max="11009" width="1.28515625" style="4" customWidth="1"/>
    <col min="11010" max="11249" width="11.42578125" style="4"/>
    <col min="11250" max="11251" width="1.5703125" style="4" customWidth="1"/>
    <col min="11252" max="11252" width="1.28515625" style="4" customWidth="1"/>
    <col min="11253" max="11255" width="13.85546875" style="4" customWidth="1"/>
    <col min="11256" max="11256" width="1.42578125" style="4" customWidth="1"/>
    <col min="11257" max="11257" width="3.85546875" style="4" customWidth="1"/>
    <col min="11258" max="11258" width="1.5703125" style="4" customWidth="1"/>
    <col min="11259" max="11259" width="13.7109375" style="4" customWidth="1"/>
    <col min="11260" max="11260" width="9.28515625" style="4" customWidth="1"/>
    <col min="11261" max="11261" width="3" style="4" customWidth="1"/>
    <col min="11262" max="11262" width="1" style="4" customWidth="1"/>
    <col min="11263" max="11263" width="13.7109375" style="4" customWidth="1"/>
    <col min="11264" max="11264" width="1.140625" style="4" customWidth="1"/>
    <col min="11265" max="11265" width="1.28515625" style="4" customWidth="1"/>
    <col min="11266" max="11505" width="11.42578125" style="4"/>
    <col min="11506" max="11507" width="1.5703125" style="4" customWidth="1"/>
    <col min="11508" max="11508" width="1.28515625" style="4" customWidth="1"/>
    <col min="11509" max="11511" width="13.85546875" style="4" customWidth="1"/>
    <col min="11512" max="11512" width="1.42578125" style="4" customWidth="1"/>
    <col min="11513" max="11513" width="3.85546875" style="4" customWidth="1"/>
    <col min="11514" max="11514" width="1.5703125" style="4" customWidth="1"/>
    <col min="11515" max="11515" width="13.7109375" style="4" customWidth="1"/>
    <col min="11516" max="11516" width="9.28515625" style="4" customWidth="1"/>
    <col min="11517" max="11517" width="3" style="4" customWidth="1"/>
    <col min="11518" max="11518" width="1" style="4" customWidth="1"/>
    <col min="11519" max="11519" width="13.7109375" style="4" customWidth="1"/>
    <col min="11520" max="11520" width="1.140625" style="4" customWidth="1"/>
    <col min="11521" max="11521" width="1.28515625" style="4" customWidth="1"/>
    <col min="11522" max="11761" width="11.42578125" style="4"/>
    <col min="11762" max="11763" width="1.5703125" style="4" customWidth="1"/>
    <col min="11764" max="11764" width="1.28515625" style="4" customWidth="1"/>
    <col min="11765" max="11767" width="13.85546875" style="4" customWidth="1"/>
    <col min="11768" max="11768" width="1.42578125" style="4" customWidth="1"/>
    <col min="11769" max="11769" width="3.85546875" style="4" customWidth="1"/>
    <col min="11770" max="11770" width="1.5703125" style="4" customWidth="1"/>
    <col min="11771" max="11771" width="13.7109375" style="4" customWidth="1"/>
    <col min="11772" max="11772" width="9.28515625" style="4" customWidth="1"/>
    <col min="11773" max="11773" width="3" style="4" customWidth="1"/>
    <col min="11774" max="11774" width="1" style="4" customWidth="1"/>
    <col min="11775" max="11775" width="13.7109375" style="4" customWidth="1"/>
    <col min="11776" max="11776" width="1.140625" style="4" customWidth="1"/>
    <col min="11777" max="11777" width="1.28515625" style="4" customWidth="1"/>
    <col min="11778" max="12017" width="11.42578125" style="4"/>
    <col min="12018" max="12019" width="1.5703125" style="4" customWidth="1"/>
    <col min="12020" max="12020" width="1.28515625" style="4" customWidth="1"/>
    <col min="12021" max="12023" width="13.85546875" style="4" customWidth="1"/>
    <col min="12024" max="12024" width="1.42578125" style="4" customWidth="1"/>
    <col min="12025" max="12025" width="3.85546875" style="4" customWidth="1"/>
    <col min="12026" max="12026" width="1.5703125" style="4" customWidth="1"/>
    <col min="12027" max="12027" width="13.7109375" style="4" customWidth="1"/>
    <col min="12028" max="12028" width="9.28515625" style="4" customWidth="1"/>
    <col min="12029" max="12029" width="3" style="4" customWidth="1"/>
    <col min="12030" max="12030" width="1" style="4" customWidth="1"/>
    <col min="12031" max="12031" width="13.7109375" style="4" customWidth="1"/>
    <col min="12032" max="12032" width="1.140625" style="4" customWidth="1"/>
    <col min="12033" max="12033" width="1.28515625" style="4" customWidth="1"/>
    <col min="12034" max="12273" width="11.42578125" style="4"/>
    <col min="12274" max="12275" width="1.5703125" style="4" customWidth="1"/>
    <col min="12276" max="12276" width="1.28515625" style="4" customWidth="1"/>
    <col min="12277" max="12279" width="13.85546875" style="4" customWidth="1"/>
    <col min="12280" max="12280" width="1.42578125" style="4" customWidth="1"/>
    <col min="12281" max="12281" width="3.85546875" style="4" customWidth="1"/>
    <col min="12282" max="12282" width="1.5703125" style="4" customWidth="1"/>
    <col min="12283" max="12283" width="13.7109375" style="4" customWidth="1"/>
    <col min="12284" max="12284" width="9.28515625" style="4" customWidth="1"/>
    <col min="12285" max="12285" width="3" style="4" customWidth="1"/>
    <col min="12286" max="12286" width="1" style="4" customWidth="1"/>
    <col min="12287" max="12287" width="13.7109375" style="4" customWidth="1"/>
    <col min="12288" max="12288" width="1.140625" style="4" customWidth="1"/>
    <col min="12289" max="12289" width="1.28515625" style="4" customWidth="1"/>
    <col min="12290" max="12529" width="11.42578125" style="4"/>
    <col min="12530" max="12531" width="1.5703125" style="4" customWidth="1"/>
    <col min="12532" max="12532" width="1.28515625" style="4" customWidth="1"/>
    <col min="12533" max="12535" width="13.85546875" style="4" customWidth="1"/>
    <col min="12536" max="12536" width="1.42578125" style="4" customWidth="1"/>
    <col min="12537" max="12537" width="3.85546875" style="4" customWidth="1"/>
    <col min="12538" max="12538" width="1.5703125" style="4" customWidth="1"/>
    <col min="12539" max="12539" width="13.7109375" style="4" customWidth="1"/>
    <col min="12540" max="12540" width="9.28515625" style="4" customWidth="1"/>
    <col min="12541" max="12541" width="3" style="4" customWidth="1"/>
    <col min="12542" max="12542" width="1" style="4" customWidth="1"/>
    <col min="12543" max="12543" width="13.7109375" style="4" customWidth="1"/>
    <col min="12544" max="12544" width="1.140625" style="4" customWidth="1"/>
    <col min="12545" max="12545" width="1.28515625" style="4" customWidth="1"/>
    <col min="12546" max="12785" width="11.42578125" style="4"/>
    <col min="12786" max="12787" width="1.5703125" style="4" customWidth="1"/>
    <col min="12788" max="12788" width="1.28515625" style="4" customWidth="1"/>
    <col min="12789" max="12791" width="13.85546875" style="4" customWidth="1"/>
    <col min="12792" max="12792" width="1.42578125" style="4" customWidth="1"/>
    <col min="12793" max="12793" width="3.85546875" style="4" customWidth="1"/>
    <col min="12794" max="12794" width="1.5703125" style="4" customWidth="1"/>
    <col min="12795" max="12795" width="13.7109375" style="4" customWidth="1"/>
    <col min="12796" max="12796" width="9.28515625" style="4" customWidth="1"/>
    <col min="12797" max="12797" width="3" style="4" customWidth="1"/>
    <col min="12798" max="12798" width="1" style="4" customWidth="1"/>
    <col min="12799" max="12799" width="13.7109375" style="4" customWidth="1"/>
    <col min="12800" max="12800" width="1.140625" style="4" customWidth="1"/>
    <col min="12801" max="12801" width="1.28515625" style="4" customWidth="1"/>
    <col min="12802" max="13041" width="11.42578125" style="4"/>
    <col min="13042" max="13043" width="1.5703125" style="4" customWidth="1"/>
    <col min="13044" max="13044" width="1.28515625" style="4" customWidth="1"/>
    <col min="13045" max="13047" width="13.85546875" style="4" customWidth="1"/>
    <col min="13048" max="13048" width="1.42578125" style="4" customWidth="1"/>
    <col min="13049" max="13049" width="3.85546875" style="4" customWidth="1"/>
    <col min="13050" max="13050" width="1.5703125" style="4" customWidth="1"/>
    <col min="13051" max="13051" width="13.7109375" style="4" customWidth="1"/>
    <col min="13052" max="13052" width="9.28515625" style="4" customWidth="1"/>
    <col min="13053" max="13053" width="3" style="4" customWidth="1"/>
    <col min="13054" max="13054" width="1" style="4" customWidth="1"/>
    <col min="13055" max="13055" width="13.7109375" style="4" customWidth="1"/>
    <col min="13056" max="13056" width="1.140625" style="4" customWidth="1"/>
    <col min="13057" max="13057" width="1.28515625" style="4" customWidth="1"/>
    <col min="13058" max="13297" width="11.42578125" style="4"/>
    <col min="13298" max="13299" width="1.5703125" style="4" customWidth="1"/>
    <col min="13300" max="13300" width="1.28515625" style="4" customWidth="1"/>
    <col min="13301" max="13303" width="13.85546875" style="4" customWidth="1"/>
    <col min="13304" max="13304" width="1.42578125" style="4" customWidth="1"/>
    <col min="13305" max="13305" width="3.85546875" style="4" customWidth="1"/>
    <col min="13306" max="13306" width="1.5703125" style="4" customWidth="1"/>
    <col min="13307" max="13307" width="13.7109375" style="4" customWidth="1"/>
    <col min="13308" max="13308" width="9.28515625" style="4" customWidth="1"/>
    <col min="13309" max="13309" width="3" style="4" customWidth="1"/>
    <col min="13310" max="13310" width="1" style="4" customWidth="1"/>
    <col min="13311" max="13311" width="13.7109375" style="4" customWidth="1"/>
    <col min="13312" max="13312" width="1.140625" style="4" customWidth="1"/>
    <col min="13313" max="13313" width="1.28515625" style="4" customWidth="1"/>
    <col min="13314" max="13553" width="11.42578125" style="4"/>
    <col min="13554" max="13555" width="1.5703125" style="4" customWidth="1"/>
    <col min="13556" max="13556" width="1.28515625" style="4" customWidth="1"/>
    <col min="13557" max="13559" width="13.85546875" style="4" customWidth="1"/>
    <col min="13560" max="13560" width="1.42578125" style="4" customWidth="1"/>
    <col min="13561" max="13561" width="3.85546875" style="4" customWidth="1"/>
    <col min="13562" max="13562" width="1.5703125" style="4" customWidth="1"/>
    <col min="13563" max="13563" width="13.7109375" style="4" customWidth="1"/>
    <col min="13564" max="13564" width="9.28515625" style="4" customWidth="1"/>
    <col min="13565" max="13565" width="3" style="4" customWidth="1"/>
    <col min="13566" max="13566" width="1" style="4" customWidth="1"/>
    <col min="13567" max="13567" width="13.7109375" style="4" customWidth="1"/>
    <col min="13568" max="13568" width="1.140625" style="4" customWidth="1"/>
    <col min="13569" max="13569" width="1.28515625" style="4" customWidth="1"/>
    <col min="13570" max="13809" width="11.42578125" style="4"/>
    <col min="13810" max="13811" width="1.5703125" style="4" customWidth="1"/>
    <col min="13812" max="13812" width="1.28515625" style="4" customWidth="1"/>
    <col min="13813" max="13815" width="13.85546875" style="4" customWidth="1"/>
    <col min="13816" max="13816" width="1.42578125" style="4" customWidth="1"/>
    <col min="13817" max="13817" width="3.85546875" style="4" customWidth="1"/>
    <col min="13818" max="13818" width="1.5703125" style="4" customWidth="1"/>
    <col min="13819" max="13819" width="13.7109375" style="4" customWidth="1"/>
    <col min="13820" max="13820" width="9.28515625" style="4" customWidth="1"/>
    <col min="13821" max="13821" width="3" style="4" customWidth="1"/>
    <col min="13822" max="13822" width="1" style="4" customWidth="1"/>
    <col min="13823" max="13823" width="13.7109375" style="4" customWidth="1"/>
    <col min="13824" max="13824" width="1.140625" style="4" customWidth="1"/>
    <col min="13825" max="13825" width="1.28515625" style="4" customWidth="1"/>
    <col min="13826" max="14065" width="11.42578125" style="4"/>
    <col min="14066" max="14067" width="1.5703125" style="4" customWidth="1"/>
    <col min="14068" max="14068" width="1.28515625" style="4" customWidth="1"/>
    <col min="14069" max="14071" width="13.85546875" style="4" customWidth="1"/>
    <col min="14072" max="14072" width="1.42578125" style="4" customWidth="1"/>
    <col min="14073" max="14073" width="3.85546875" style="4" customWidth="1"/>
    <col min="14074" max="14074" width="1.5703125" style="4" customWidth="1"/>
    <col min="14075" max="14075" width="13.7109375" style="4" customWidth="1"/>
    <col min="14076" max="14076" width="9.28515625" style="4" customWidth="1"/>
    <col min="14077" max="14077" width="3" style="4" customWidth="1"/>
    <col min="14078" max="14078" width="1" style="4" customWidth="1"/>
    <col min="14079" max="14079" width="13.7109375" style="4" customWidth="1"/>
    <col min="14080" max="14080" width="1.140625" style="4" customWidth="1"/>
    <col min="14081" max="14081" width="1.28515625" style="4" customWidth="1"/>
    <col min="14082" max="14321" width="11.42578125" style="4"/>
    <col min="14322" max="14323" width="1.5703125" style="4" customWidth="1"/>
    <col min="14324" max="14324" width="1.28515625" style="4" customWidth="1"/>
    <col min="14325" max="14327" width="13.85546875" style="4" customWidth="1"/>
    <col min="14328" max="14328" width="1.42578125" style="4" customWidth="1"/>
    <col min="14329" max="14329" width="3.85546875" style="4" customWidth="1"/>
    <col min="14330" max="14330" width="1.5703125" style="4" customWidth="1"/>
    <col min="14331" max="14331" width="13.7109375" style="4" customWidth="1"/>
    <col min="14332" max="14332" width="9.28515625" style="4" customWidth="1"/>
    <col min="14333" max="14333" width="3" style="4" customWidth="1"/>
    <col min="14334" max="14334" width="1" style="4" customWidth="1"/>
    <col min="14335" max="14335" width="13.7109375" style="4" customWidth="1"/>
    <col min="14336" max="14336" width="1.140625" style="4" customWidth="1"/>
    <col min="14337" max="14337" width="1.28515625" style="4" customWidth="1"/>
    <col min="14338" max="14577" width="11.42578125" style="4"/>
    <col min="14578" max="14579" width="1.5703125" style="4" customWidth="1"/>
    <col min="14580" max="14580" width="1.28515625" style="4" customWidth="1"/>
    <col min="14581" max="14583" width="13.85546875" style="4" customWidth="1"/>
    <col min="14584" max="14584" width="1.42578125" style="4" customWidth="1"/>
    <col min="14585" max="14585" width="3.85546875" style="4" customWidth="1"/>
    <col min="14586" max="14586" width="1.5703125" style="4" customWidth="1"/>
    <col min="14587" max="14587" width="13.7109375" style="4" customWidth="1"/>
    <col min="14588" max="14588" width="9.28515625" style="4" customWidth="1"/>
    <col min="14589" max="14589" width="3" style="4" customWidth="1"/>
    <col min="14590" max="14590" width="1" style="4" customWidth="1"/>
    <col min="14591" max="14591" width="13.7109375" style="4" customWidth="1"/>
    <col min="14592" max="14592" width="1.140625" style="4" customWidth="1"/>
    <col min="14593" max="14593" width="1.28515625" style="4" customWidth="1"/>
    <col min="14594" max="14833" width="11.42578125" style="4"/>
    <col min="14834" max="14835" width="1.5703125" style="4" customWidth="1"/>
    <col min="14836" max="14836" width="1.28515625" style="4" customWidth="1"/>
    <col min="14837" max="14839" width="13.85546875" style="4" customWidth="1"/>
    <col min="14840" max="14840" width="1.42578125" style="4" customWidth="1"/>
    <col min="14841" max="14841" width="3.85546875" style="4" customWidth="1"/>
    <col min="14842" max="14842" width="1.5703125" style="4" customWidth="1"/>
    <col min="14843" max="14843" width="13.7109375" style="4" customWidth="1"/>
    <col min="14844" max="14844" width="9.28515625" style="4" customWidth="1"/>
    <col min="14845" max="14845" width="3" style="4" customWidth="1"/>
    <col min="14846" max="14846" width="1" style="4" customWidth="1"/>
    <col min="14847" max="14847" width="13.7109375" style="4" customWidth="1"/>
    <col min="14848" max="14848" width="1.140625" style="4" customWidth="1"/>
    <col min="14849" max="14849" width="1.28515625" style="4" customWidth="1"/>
    <col min="14850" max="15089" width="11.42578125" style="4"/>
    <col min="15090" max="15091" width="1.5703125" style="4" customWidth="1"/>
    <col min="15092" max="15092" width="1.28515625" style="4" customWidth="1"/>
    <col min="15093" max="15095" width="13.85546875" style="4" customWidth="1"/>
    <col min="15096" max="15096" width="1.42578125" style="4" customWidth="1"/>
    <col min="15097" max="15097" width="3.85546875" style="4" customWidth="1"/>
    <col min="15098" max="15098" width="1.5703125" style="4" customWidth="1"/>
    <col min="15099" max="15099" width="13.7109375" style="4" customWidth="1"/>
    <col min="15100" max="15100" width="9.28515625" style="4" customWidth="1"/>
    <col min="15101" max="15101" width="3" style="4" customWidth="1"/>
    <col min="15102" max="15102" width="1" style="4" customWidth="1"/>
    <col min="15103" max="15103" width="13.7109375" style="4" customWidth="1"/>
    <col min="15104" max="15104" width="1.140625" style="4" customWidth="1"/>
    <col min="15105" max="15105" width="1.28515625" style="4" customWidth="1"/>
    <col min="15106" max="15345" width="11.42578125" style="4"/>
    <col min="15346" max="15347" width="1.5703125" style="4" customWidth="1"/>
    <col min="15348" max="15348" width="1.28515625" style="4" customWidth="1"/>
    <col min="15349" max="15351" width="13.85546875" style="4" customWidth="1"/>
    <col min="15352" max="15352" width="1.42578125" style="4" customWidth="1"/>
    <col min="15353" max="15353" width="3.85546875" style="4" customWidth="1"/>
    <col min="15354" max="15354" width="1.5703125" style="4" customWidth="1"/>
    <col min="15355" max="15355" width="13.7109375" style="4" customWidth="1"/>
    <col min="15356" max="15356" width="9.28515625" style="4" customWidth="1"/>
    <col min="15357" max="15357" width="3" style="4" customWidth="1"/>
    <col min="15358" max="15358" width="1" style="4" customWidth="1"/>
    <col min="15359" max="15359" width="13.7109375" style="4" customWidth="1"/>
    <col min="15360" max="15360" width="1.140625" style="4" customWidth="1"/>
    <col min="15361" max="15361" width="1.28515625" style="4" customWidth="1"/>
    <col min="15362" max="15601" width="11.42578125" style="4"/>
    <col min="15602" max="15603" width="1.5703125" style="4" customWidth="1"/>
    <col min="15604" max="15604" width="1.28515625" style="4" customWidth="1"/>
    <col min="15605" max="15607" width="13.85546875" style="4" customWidth="1"/>
    <col min="15608" max="15608" width="1.42578125" style="4" customWidth="1"/>
    <col min="15609" max="15609" width="3.85546875" style="4" customWidth="1"/>
    <col min="15610" max="15610" width="1.5703125" style="4" customWidth="1"/>
    <col min="15611" max="15611" width="13.7109375" style="4" customWidth="1"/>
    <col min="15612" max="15612" width="9.28515625" style="4" customWidth="1"/>
    <col min="15613" max="15613" width="3" style="4" customWidth="1"/>
    <col min="15614" max="15614" width="1" style="4" customWidth="1"/>
    <col min="15615" max="15615" width="13.7109375" style="4" customWidth="1"/>
    <col min="15616" max="15616" width="1.140625" style="4" customWidth="1"/>
    <col min="15617" max="15617" width="1.28515625" style="4" customWidth="1"/>
    <col min="15618" max="15857" width="11.42578125" style="4"/>
    <col min="15858" max="15859" width="1.5703125" style="4" customWidth="1"/>
    <col min="15860" max="15860" width="1.28515625" style="4" customWidth="1"/>
    <col min="15861" max="15863" width="13.85546875" style="4" customWidth="1"/>
    <col min="15864" max="15864" width="1.42578125" style="4" customWidth="1"/>
    <col min="15865" max="15865" width="3.85546875" style="4" customWidth="1"/>
    <col min="15866" max="15866" width="1.5703125" style="4" customWidth="1"/>
    <col min="15867" max="15867" width="13.7109375" style="4" customWidth="1"/>
    <col min="15868" max="15868" width="9.28515625" style="4" customWidth="1"/>
    <col min="15869" max="15869" width="3" style="4" customWidth="1"/>
    <col min="15870" max="15870" width="1" style="4" customWidth="1"/>
    <col min="15871" max="15871" width="13.7109375" style="4" customWidth="1"/>
    <col min="15872" max="15872" width="1.140625" style="4" customWidth="1"/>
    <col min="15873" max="15873" width="1.28515625" style="4" customWidth="1"/>
    <col min="15874" max="16113" width="11.42578125" style="4"/>
    <col min="16114" max="16115" width="1.5703125" style="4" customWidth="1"/>
    <col min="16116" max="16116" width="1.28515625" style="4" customWidth="1"/>
    <col min="16117" max="16119" width="13.85546875" style="4" customWidth="1"/>
    <col min="16120" max="16120" width="1.42578125" style="4" customWidth="1"/>
    <col min="16121" max="16121" width="3.85546875" style="4" customWidth="1"/>
    <col min="16122" max="16122" width="1.5703125" style="4" customWidth="1"/>
    <col min="16123" max="16123" width="13.7109375" style="4" customWidth="1"/>
    <col min="16124" max="16124" width="9.28515625" style="4" customWidth="1"/>
    <col min="16125" max="16125" width="3" style="4" customWidth="1"/>
    <col min="16126" max="16126" width="1" style="4" customWidth="1"/>
    <col min="16127" max="16127" width="13.7109375" style="4" customWidth="1"/>
    <col min="16128" max="16128" width="1.140625" style="4" customWidth="1"/>
    <col min="16129" max="16129" width="1.28515625" style="4" customWidth="1"/>
    <col min="16130" max="16384" width="11.42578125" style="4"/>
  </cols>
  <sheetData>
    <row r="1" spans="1:27" ht="29.25" customHeight="1" x14ac:dyDescent="0.2">
      <c r="B1" s="5"/>
      <c r="C1" s="5"/>
      <c r="D1" s="5"/>
      <c r="E1" s="5"/>
      <c r="F1" s="5"/>
      <c r="G1" s="5"/>
      <c r="H1" s="5"/>
      <c r="I1" s="5"/>
      <c r="J1" s="5"/>
      <c r="K1" s="45"/>
      <c r="M1" s="44"/>
      <c r="N1" s="5"/>
      <c r="O1" s="5"/>
      <c r="Q1" s="62"/>
      <c r="S1" s="62" t="s">
        <v>54</v>
      </c>
      <c r="AA1" s="6" t="b">
        <v>1</v>
      </c>
    </row>
    <row r="2" spans="1:27" ht="4.5" customHeight="1" x14ac:dyDescent="0.2">
      <c r="B2" s="5"/>
      <c r="C2" s="5"/>
      <c r="D2" s="5"/>
      <c r="E2" s="5"/>
      <c r="F2" s="5"/>
      <c r="G2" s="5"/>
      <c r="H2" s="5"/>
      <c r="I2" s="5"/>
      <c r="J2" s="5"/>
      <c r="K2" s="5"/>
      <c r="L2" s="5"/>
      <c r="M2" s="5"/>
      <c r="N2" s="5"/>
      <c r="O2" s="5"/>
      <c r="P2" s="5"/>
      <c r="Q2" s="5"/>
      <c r="AA2" s="6" t="b">
        <v>1</v>
      </c>
    </row>
    <row r="3" spans="1:27" s="7" customFormat="1" ht="14.25" customHeight="1" x14ac:dyDescent="0.25">
      <c r="B3" s="8"/>
      <c r="C3" s="8"/>
      <c r="D3" s="8"/>
      <c r="E3" s="8"/>
      <c r="F3" s="8"/>
      <c r="G3" s="8"/>
      <c r="H3" s="8"/>
      <c r="I3" s="9"/>
      <c r="J3" s="8"/>
      <c r="K3" s="9"/>
      <c r="L3" s="37" t="s">
        <v>0</v>
      </c>
      <c r="N3" s="37"/>
      <c r="O3" s="38" t="s">
        <v>23</v>
      </c>
      <c r="P3" s="8"/>
    </row>
    <row r="4" spans="1:27" ht="6.75" customHeight="1" thickBot="1" x14ac:dyDescent="0.25">
      <c r="B4" s="5"/>
      <c r="C4" s="5"/>
      <c r="D4" s="5"/>
      <c r="E4" s="5"/>
      <c r="F4" s="5"/>
      <c r="G4" s="5"/>
      <c r="H4" s="5"/>
      <c r="I4" s="5"/>
      <c r="J4" s="5"/>
      <c r="K4" s="5"/>
      <c r="L4" s="5"/>
      <c r="M4" s="5"/>
      <c r="N4" s="5"/>
      <c r="O4" s="5"/>
      <c r="P4" s="5"/>
      <c r="Q4" s="5"/>
    </row>
    <row r="5" spans="1:27" ht="16.5" thickBot="1" x14ac:dyDescent="0.3">
      <c r="B5" s="216" t="s">
        <v>29</v>
      </c>
      <c r="C5" s="217"/>
      <c r="D5" s="217"/>
      <c r="E5" s="217"/>
      <c r="F5" s="217"/>
      <c r="G5" s="217"/>
      <c r="H5" s="217"/>
      <c r="I5" s="217"/>
      <c r="J5" s="217"/>
      <c r="K5" s="217"/>
      <c r="L5" s="217"/>
      <c r="M5" s="217"/>
      <c r="N5" s="217"/>
      <c r="O5" s="217"/>
      <c r="P5" s="217"/>
      <c r="Q5" s="218"/>
    </row>
    <row r="6" spans="1:27" s="10" customFormat="1" ht="6" customHeight="1" thickBot="1" x14ac:dyDescent="0.25">
      <c r="G6" s="219"/>
      <c r="H6" s="220"/>
      <c r="I6" s="220"/>
      <c r="J6" s="220"/>
      <c r="K6" s="220"/>
      <c r="L6" s="220"/>
      <c r="M6" s="220"/>
      <c r="N6" s="220"/>
      <c r="O6" s="220"/>
      <c r="P6" s="220"/>
      <c r="Q6" s="220"/>
    </row>
    <row r="7" spans="1:27" s="15" customFormat="1" ht="19.5" customHeight="1" x14ac:dyDescent="0.25">
      <c r="B7" s="221" t="s">
        <v>56</v>
      </c>
      <c r="C7" s="222"/>
      <c r="D7" s="222"/>
      <c r="E7" s="223"/>
      <c r="F7" s="43" t="s">
        <v>1</v>
      </c>
      <c r="G7" s="224" t="s">
        <v>57</v>
      </c>
      <c r="H7" s="225"/>
      <c r="I7" s="225"/>
      <c r="J7" s="225"/>
      <c r="K7" s="225"/>
      <c r="L7" s="225"/>
      <c r="M7" s="225"/>
      <c r="N7" s="225"/>
      <c r="O7" s="225"/>
      <c r="P7" s="225"/>
      <c r="Q7" s="226"/>
    </row>
    <row r="8" spans="1:27" s="14" customFormat="1" ht="18" customHeight="1" x14ac:dyDescent="0.25">
      <c r="B8" s="227">
        <v>0</v>
      </c>
      <c r="C8" s="228"/>
      <c r="D8" s="228"/>
      <c r="E8" s="229"/>
      <c r="F8" s="71">
        <f ca="1">TODAY()</f>
        <v>43431</v>
      </c>
      <c r="G8" s="230" t="s">
        <v>82</v>
      </c>
      <c r="H8" s="231"/>
      <c r="I8" s="231"/>
      <c r="J8" s="231"/>
      <c r="K8" s="231"/>
      <c r="L8" s="231"/>
      <c r="M8" s="231"/>
      <c r="N8" s="231"/>
      <c r="O8" s="231"/>
      <c r="P8" s="231"/>
      <c r="Q8" s="232"/>
    </row>
    <row r="9" spans="1:27" s="15" customFormat="1" ht="15" customHeight="1" x14ac:dyDescent="0.25">
      <c r="B9" s="175" t="s">
        <v>58</v>
      </c>
      <c r="C9" s="176"/>
      <c r="D9" s="176"/>
      <c r="E9" s="176"/>
      <c r="F9" s="177"/>
      <c r="G9" s="177"/>
      <c r="H9" s="177"/>
      <c r="I9" s="177"/>
      <c r="J9" s="177"/>
      <c r="K9" s="177"/>
      <c r="L9" s="177"/>
      <c r="M9" s="177"/>
      <c r="N9" s="178"/>
      <c r="O9" s="178"/>
      <c r="P9" s="178"/>
      <c r="Q9" s="179"/>
    </row>
    <row r="10" spans="1:27" s="15" customFormat="1" ht="15" customHeight="1" x14ac:dyDescent="0.25">
      <c r="B10" s="138"/>
      <c r="C10" s="139"/>
      <c r="D10" s="142"/>
      <c r="E10" s="136" t="s">
        <v>73</v>
      </c>
      <c r="F10" s="136" t="s">
        <v>74</v>
      </c>
      <c r="G10" s="136" t="s">
        <v>75</v>
      </c>
      <c r="H10" s="177" t="s">
        <v>76</v>
      </c>
      <c r="I10" s="177"/>
      <c r="J10" s="177"/>
      <c r="K10" s="177"/>
      <c r="L10" s="177" t="s">
        <v>77</v>
      </c>
      <c r="M10" s="177"/>
      <c r="N10" s="144"/>
      <c r="O10" s="139"/>
      <c r="P10" s="139"/>
      <c r="Q10" s="143"/>
    </row>
    <row r="11" spans="1:27" s="15" customFormat="1" ht="16.5" customHeight="1" thickBot="1" x14ac:dyDescent="0.3">
      <c r="A11" s="60" t="s">
        <v>2</v>
      </c>
      <c r="B11" s="237"/>
      <c r="C11" s="238"/>
      <c r="D11" s="239"/>
      <c r="E11" s="140">
        <v>0</v>
      </c>
      <c r="F11" s="140">
        <v>0</v>
      </c>
      <c r="G11" s="141">
        <v>0</v>
      </c>
      <c r="H11" s="191">
        <v>0</v>
      </c>
      <c r="I11" s="191"/>
      <c r="J11" s="191"/>
      <c r="K11" s="191"/>
      <c r="L11" s="192">
        <v>0</v>
      </c>
      <c r="M11" s="192"/>
      <c r="N11" s="145"/>
      <c r="O11" s="146"/>
      <c r="P11" s="147"/>
      <c r="Q11" s="148"/>
    </row>
    <row r="12" spans="1:27" s="11" customFormat="1" ht="0.75" customHeight="1" x14ac:dyDescent="0.2">
      <c r="B12" s="40"/>
      <c r="C12" s="40"/>
      <c r="D12" s="40"/>
      <c r="E12" s="41"/>
      <c r="F12" s="42"/>
      <c r="G12" s="42"/>
      <c r="H12" s="241"/>
      <c r="I12" s="241"/>
      <c r="J12" s="241"/>
      <c r="K12" s="241"/>
      <c r="L12" s="240"/>
      <c r="M12" s="240"/>
      <c r="N12" s="40"/>
      <c r="O12" s="42"/>
      <c r="P12" s="40"/>
      <c r="Q12" s="40"/>
    </row>
    <row r="13" spans="1:27" s="85" customFormat="1" ht="14.25" customHeight="1" thickBot="1" x14ac:dyDescent="0.25">
      <c r="B13" s="86" t="s">
        <v>62</v>
      </c>
      <c r="C13" s="40"/>
      <c r="E13" s="41"/>
      <c r="F13" s="42"/>
      <c r="G13" s="42"/>
      <c r="H13" s="41"/>
      <c r="I13" s="41"/>
      <c r="J13" s="41"/>
      <c r="K13" s="41"/>
      <c r="L13" s="42"/>
      <c r="M13" s="42"/>
      <c r="N13" s="40"/>
      <c r="O13" s="42"/>
      <c r="P13" s="40"/>
      <c r="Q13" s="40"/>
    </row>
    <row r="14" spans="1:27" s="15" customFormat="1" ht="4.5" customHeight="1" x14ac:dyDescent="0.25">
      <c r="B14" s="204"/>
      <c r="C14" s="205"/>
      <c r="D14" s="205"/>
      <c r="E14" s="205"/>
      <c r="F14" s="205"/>
      <c r="G14" s="205"/>
      <c r="H14" s="205"/>
      <c r="I14" s="205"/>
      <c r="J14" s="205"/>
      <c r="K14" s="205"/>
      <c r="L14" s="206"/>
      <c r="M14" s="16"/>
      <c r="N14" s="208"/>
      <c r="O14" s="208"/>
      <c r="P14" s="208"/>
      <c r="Q14" s="209"/>
    </row>
    <row r="15" spans="1:27" s="15" customFormat="1" ht="14.25" customHeight="1" x14ac:dyDescent="0.25">
      <c r="B15" s="17"/>
      <c r="C15" s="18" t="s">
        <v>63</v>
      </c>
      <c r="D15" s="18"/>
      <c r="E15" s="18"/>
      <c r="F15" s="66"/>
      <c r="G15" s="18"/>
      <c r="H15" s="18"/>
      <c r="I15" s="18"/>
      <c r="J15" s="18"/>
      <c r="K15" s="18"/>
      <c r="L15" s="207"/>
      <c r="M15" s="18"/>
      <c r="N15" s="18"/>
      <c r="O15" s="66" t="s">
        <v>64</v>
      </c>
      <c r="P15" s="18"/>
      <c r="Q15" s="19"/>
      <c r="S15" s="68"/>
    </row>
    <row r="16" spans="1:27" s="15" customFormat="1" ht="15.75" x14ac:dyDescent="0.25">
      <c r="B16" s="17"/>
      <c r="C16" s="242" t="str">
        <f>LOOKUP(Apoyo!D2,Apoyo!B2:B9,Apoyo!A2:A9)</f>
        <v>Pago Cédula Habitabilidad (Solo C.E.R. Catalunya / Barcelona)</v>
      </c>
      <c r="D16" s="242"/>
      <c r="E16" s="242"/>
      <c r="F16" s="242"/>
      <c r="G16" s="242"/>
      <c r="H16" s="242"/>
      <c r="I16" s="242"/>
      <c r="J16" s="242"/>
      <c r="K16" s="242"/>
      <c r="L16" s="242"/>
      <c r="M16" s="73"/>
      <c r="N16" s="18"/>
      <c r="O16" s="189">
        <f>F47</f>
        <v>0</v>
      </c>
      <c r="P16" s="190"/>
      <c r="Q16" s="19"/>
      <c r="R16" s="46" t="e">
        <f>IF(AND(OR(O16&gt;0,#REF!&gt;0),OR(O16="",O16=0,#REF!="",#REF!=0)),"s","n")</f>
        <v>#REF!</v>
      </c>
    </row>
    <row r="17" spans="2:19" s="80" customFormat="1" ht="6.95" customHeight="1" thickBot="1" x14ac:dyDescent="0.3">
      <c r="B17" s="87"/>
      <c r="C17" s="88"/>
      <c r="D17" s="88"/>
      <c r="E17" s="88"/>
      <c r="F17" s="88"/>
      <c r="G17" s="88"/>
      <c r="H17" s="88"/>
      <c r="I17" s="88"/>
      <c r="J17" s="88"/>
      <c r="K17" s="88"/>
      <c r="L17" s="88"/>
      <c r="M17" s="89"/>
      <c r="N17" s="88"/>
      <c r="O17" s="90"/>
      <c r="P17" s="91"/>
      <c r="Q17" s="92"/>
    </row>
    <row r="18" spans="2:19" s="15" customFormat="1" ht="0.75" customHeight="1" x14ac:dyDescent="0.25">
      <c r="B18" s="18"/>
      <c r="C18" s="18"/>
      <c r="D18" s="18"/>
      <c r="E18" s="18"/>
      <c r="F18" s="18"/>
      <c r="G18" s="18"/>
      <c r="H18" s="18"/>
      <c r="I18" s="18"/>
      <c r="J18" s="18"/>
      <c r="K18" s="18"/>
      <c r="L18" s="18"/>
      <c r="M18" s="18"/>
      <c r="N18" s="18"/>
      <c r="O18" s="18"/>
      <c r="P18" s="18"/>
      <c r="Q18" s="18"/>
    </row>
    <row r="19" spans="2:19" s="85" customFormat="1" ht="15" customHeight="1" thickBot="1" x14ac:dyDescent="0.25">
      <c r="B19" s="86" t="s">
        <v>61</v>
      </c>
      <c r="C19" s="40"/>
      <c r="E19" s="41"/>
      <c r="F19" s="42"/>
      <c r="G19" s="42"/>
      <c r="H19" s="41"/>
      <c r="I19" s="41"/>
      <c r="J19" s="41"/>
      <c r="K19" s="41"/>
      <c r="L19" s="42"/>
      <c r="M19" s="42"/>
      <c r="N19" s="40"/>
      <c r="O19" s="42"/>
      <c r="P19" s="40"/>
      <c r="Q19" s="40"/>
    </row>
    <row r="20" spans="2:19" s="15" customFormat="1" ht="20.25" customHeight="1" x14ac:dyDescent="0.25">
      <c r="B20" s="96"/>
      <c r="C20" s="122"/>
      <c r="D20" s="98"/>
      <c r="E20" s="98"/>
      <c r="F20" s="122" t="s">
        <v>26</v>
      </c>
      <c r="G20" s="98" t="s">
        <v>25</v>
      </c>
      <c r="H20" s="122"/>
      <c r="I20" s="122"/>
      <c r="J20" s="123"/>
      <c r="K20" s="122"/>
      <c r="L20" s="122"/>
      <c r="M20" s="122"/>
      <c r="N20" s="122"/>
      <c r="O20" s="122"/>
      <c r="P20" s="122"/>
      <c r="Q20" s="124"/>
    </row>
    <row r="21" spans="2:19" ht="18" customHeight="1" x14ac:dyDescent="0.2">
      <c r="B21" s="125"/>
      <c r="C21" s="12"/>
      <c r="D21" s="12"/>
      <c r="E21" s="84"/>
      <c r="F21" s="47"/>
      <c r="G21" s="201"/>
      <c r="H21" s="202"/>
      <c r="I21" s="202"/>
      <c r="J21" s="202"/>
      <c r="K21" s="202"/>
      <c r="L21" s="202"/>
      <c r="M21" s="202"/>
      <c r="N21" s="202"/>
      <c r="O21" s="203"/>
      <c r="P21" s="12"/>
      <c r="Q21" s="126"/>
    </row>
    <row r="22" spans="2:19" ht="5.25" customHeight="1" thickBot="1" x14ac:dyDescent="0.25">
      <c r="B22" s="127"/>
      <c r="C22" s="128"/>
      <c r="D22" s="128"/>
      <c r="E22" s="129"/>
      <c r="F22" s="130"/>
      <c r="G22" s="213"/>
      <c r="H22" s="213"/>
      <c r="I22" s="213"/>
      <c r="J22" s="213"/>
      <c r="K22" s="213"/>
      <c r="L22" s="213"/>
      <c r="M22" s="213"/>
      <c r="N22" s="213"/>
      <c r="O22" s="213"/>
      <c r="P22" s="128"/>
      <c r="Q22" s="131"/>
    </row>
    <row r="23" spans="2:19" s="11" customFormat="1" ht="0.75" customHeight="1" x14ac:dyDescent="0.2">
      <c r="B23" s="40"/>
      <c r="C23" s="40"/>
      <c r="D23" s="40"/>
      <c r="E23" s="41"/>
      <c r="F23" s="42"/>
      <c r="G23" s="42"/>
      <c r="H23" s="41"/>
      <c r="I23" s="41"/>
      <c r="J23" s="41"/>
      <c r="K23" s="41"/>
      <c r="L23" s="42"/>
      <c r="M23" s="42"/>
      <c r="N23" s="40"/>
      <c r="O23" s="42"/>
      <c r="P23" s="40"/>
      <c r="Q23" s="40"/>
    </row>
    <row r="24" spans="2:19" s="85" customFormat="1" ht="13.5" customHeight="1" thickBot="1" x14ac:dyDescent="0.25">
      <c r="B24" s="86" t="s">
        <v>65</v>
      </c>
      <c r="C24" s="40"/>
      <c r="E24" s="41"/>
      <c r="F24" s="42"/>
      <c r="G24" s="42"/>
      <c r="H24" s="41"/>
      <c r="I24" s="41"/>
      <c r="J24" s="41"/>
      <c r="K24" s="41"/>
      <c r="L24" s="42"/>
      <c r="M24" s="42"/>
      <c r="N24" s="40"/>
      <c r="O24" s="42"/>
      <c r="P24" s="40"/>
      <c r="Q24" s="40"/>
    </row>
    <row r="25" spans="2:19" s="15" customFormat="1" ht="4.5" customHeight="1" x14ac:dyDescent="0.25">
      <c r="B25" s="204"/>
      <c r="C25" s="205"/>
      <c r="D25" s="205"/>
      <c r="E25" s="205"/>
      <c r="F25" s="205"/>
      <c r="G25" s="205"/>
      <c r="H25" s="205"/>
      <c r="I25" s="205"/>
      <c r="J25" s="205"/>
      <c r="K25" s="205"/>
      <c r="L25" s="206"/>
      <c r="M25" s="16"/>
      <c r="N25" s="208"/>
      <c r="O25" s="208"/>
      <c r="P25" s="208"/>
      <c r="Q25" s="209"/>
    </row>
    <row r="26" spans="2:19" s="15" customFormat="1" ht="17.25" customHeight="1" x14ac:dyDescent="0.25">
      <c r="B26" s="17"/>
      <c r="C26" s="18" t="s">
        <v>67</v>
      </c>
      <c r="D26" s="18"/>
      <c r="E26" s="18"/>
      <c r="F26" s="66"/>
      <c r="G26" s="18"/>
      <c r="H26" s="18"/>
      <c r="I26" s="18"/>
      <c r="J26" s="18"/>
      <c r="K26" s="18"/>
      <c r="L26" s="207"/>
      <c r="M26" s="18"/>
      <c r="N26" s="18"/>
      <c r="O26" s="66"/>
      <c r="P26" s="18"/>
      <c r="Q26" s="19"/>
      <c r="S26" s="68"/>
    </row>
    <row r="27" spans="2:19" s="80" customFormat="1" ht="15" customHeight="1" x14ac:dyDescent="0.25">
      <c r="B27" s="81"/>
      <c r="C27" s="82"/>
      <c r="D27" s="236" t="s">
        <v>59</v>
      </c>
      <c r="E27" s="236"/>
      <c r="F27" s="236"/>
      <c r="G27" s="236"/>
      <c r="H27" s="215" t="s">
        <v>66</v>
      </c>
      <c r="I27" s="215"/>
      <c r="J27" s="215"/>
      <c r="K27" s="215"/>
      <c r="L27" s="215"/>
      <c r="M27" s="215"/>
      <c r="N27" s="215"/>
      <c r="O27" s="215"/>
      <c r="P27" s="82"/>
      <c r="Q27" s="83"/>
    </row>
    <row r="28" spans="2:19" s="80" customFormat="1" ht="15" customHeight="1" x14ac:dyDescent="0.25">
      <c r="B28" s="81"/>
      <c r="C28" s="82"/>
      <c r="D28" s="233"/>
      <c r="E28" s="234"/>
      <c r="F28" s="234"/>
      <c r="G28" s="235"/>
      <c r="H28" s="243"/>
      <c r="I28" s="244"/>
      <c r="J28" s="244"/>
      <c r="K28" s="244"/>
      <c r="L28" s="244"/>
      <c r="M28" s="244"/>
      <c r="N28" s="244"/>
      <c r="O28" s="245"/>
      <c r="P28" s="82"/>
      <c r="Q28" s="83"/>
    </row>
    <row r="29" spans="2:19" s="80" customFormat="1" ht="15" customHeight="1" x14ac:dyDescent="0.25">
      <c r="B29" s="81"/>
      <c r="C29" s="82"/>
      <c r="D29" s="214" t="s">
        <v>68</v>
      </c>
      <c r="E29" s="214"/>
      <c r="F29" s="214"/>
      <c r="G29" s="214"/>
      <c r="H29" s="82"/>
      <c r="I29" s="82"/>
      <c r="J29" s="82"/>
      <c r="K29" s="82"/>
      <c r="L29" s="82"/>
      <c r="M29" s="82"/>
      <c r="N29" s="82"/>
      <c r="O29" s="82"/>
      <c r="P29" s="82"/>
      <c r="Q29" s="83"/>
    </row>
    <row r="30" spans="2:19" s="80" customFormat="1" ht="15" customHeight="1" x14ac:dyDescent="0.25">
      <c r="B30" s="81"/>
      <c r="C30" s="82"/>
      <c r="D30" s="210"/>
      <c r="E30" s="211"/>
      <c r="F30" s="211"/>
      <c r="G30" s="212"/>
      <c r="H30" s="82"/>
      <c r="I30" s="15" t="s">
        <v>48</v>
      </c>
      <c r="J30" s="82"/>
      <c r="K30" s="82"/>
      <c r="L30" s="82"/>
      <c r="M30" s="82"/>
      <c r="N30" s="82"/>
      <c r="O30" s="82"/>
      <c r="P30" s="82"/>
      <c r="Q30" s="83"/>
    </row>
    <row r="31" spans="2:19" s="80" customFormat="1" ht="15" customHeight="1" x14ac:dyDescent="0.25">
      <c r="B31" s="81"/>
      <c r="C31" s="82"/>
      <c r="D31" s="214" t="s">
        <v>69</v>
      </c>
      <c r="E31" s="214"/>
      <c r="F31" s="214"/>
      <c r="G31" s="214"/>
      <c r="H31" s="93"/>
      <c r="J31" s="93"/>
      <c r="K31" s="93"/>
      <c r="L31" s="82"/>
      <c r="M31" s="82"/>
      <c r="N31" s="82"/>
      <c r="O31" s="82"/>
      <c r="P31" s="82"/>
      <c r="Q31" s="83"/>
    </row>
    <row r="32" spans="2:19" s="80" customFormat="1" ht="15" customHeight="1" x14ac:dyDescent="0.25">
      <c r="B32" s="81"/>
      <c r="C32" s="82"/>
      <c r="D32" s="210"/>
      <c r="E32" s="211"/>
      <c r="F32" s="211"/>
      <c r="G32" s="212"/>
      <c r="H32" s="94"/>
      <c r="I32" s="15"/>
      <c r="J32" s="94"/>
      <c r="K32" s="94"/>
      <c r="L32" s="82"/>
      <c r="M32" s="82"/>
      <c r="N32" s="82"/>
      <c r="O32" s="82"/>
      <c r="P32" s="82"/>
      <c r="Q32" s="83"/>
    </row>
    <row r="33" spans="2:17" s="80" customFormat="1" ht="15" customHeight="1" thickBot="1" x14ac:dyDescent="0.3">
      <c r="B33" s="87"/>
      <c r="C33" s="88"/>
      <c r="D33" s="88"/>
      <c r="E33" s="88"/>
      <c r="F33" s="88"/>
      <c r="G33" s="88"/>
      <c r="H33" s="88"/>
      <c r="I33" s="88"/>
      <c r="J33" s="88"/>
      <c r="K33" s="88"/>
      <c r="L33" s="88"/>
      <c r="M33" s="88"/>
      <c r="N33" s="88"/>
      <c r="O33" s="88"/>
      <c r="P33" s="88"/>
      <c r="Q33" s="92"/>
    </row>
    <row r="34" spans="2:17" s="15" customFormat="1" ht="1.5" customHeight="1" x14ac:dyDescent="0.25">
      <c r="B34" s="18"/>
      <c r="C34" s="18"/>
      <c r="D34" s="18"/>
      <c r="E34" s="18"/>
      <c r="F34" s="18"/>
      <c r="G34" s="18"/>
      <c r="H34" s="18"/>
      <c r="I34" s="18"/>
      <c r="J34" s="18"/>
      <c r="K34" s="18"/>
      <c r="L34" s="18"/>
      <c r="M34" s="18"/>
      <c r="N34" s="18"/>
      <c r="O34" s="18"/>
      <c r="P34" s="18"/>
      <c r="Q34" s="18"/>
    </row>
    <row r="35" spans="2:17" s="95" customFormat="1" ht="15" customHeight="1" thickBot="1" x14ac:dyDescent="0.25">
      <c r="B35" s="86" t="s">
        <v>70</v>
      </c>
      <c r="C35" s="40"/>
      <c r="E35" s="41"/>
      <c r="F35" s="42"/>
      <c r="G35" s="42"/>
      <c r="H35" s="41"/>
      <c r="I35" s="41"/>
      <c r="J35" s="41"/>
      <c r="K35" s="132"/>
      <c r="L35" s="133"/>
      <c r="M35" s="133"/>
      <c r="N35" s="134"/>
      <c r="O35" s="135"/>
      <c r="P35" s="134"/>
      <c r="Q35" s="135" t="s">
        <v>72</v>
      </c>
    </row>
    <row r="36" spans="2:17" s="80" customFormat="1" ht="15.95" customHeight="1" x14ac:dyDescent="0.25">
      <c r="B36" s="96"/>
      <c r="C36" s="97" t="s">
        <v>84</v>
      </c>
      <c r="D36" s="98"/>
      <c r="E36" s="99"/>
      <c r="F36" s="100"/>
      <c r="G36" s="99"/>
      <c r="H36" s="101"/>
      <c r="I36" s="100"/>
      <c r="J36" s="101"/>
      <c r="K36" s="101"/>
      <c r="L36" s="161">
        <v>1</v>
      </c>
      <c r="M36" s="99"/>
      <c r="N36" s="100"/>
      <c r="O36" s="199" t="s">
        <v>71</v>
      </c>
      <c r="P36" s="199"/>
      <c r="Q36" s="200"/>
    </row>
    <row r="37" spans="2:17" s="80" customFormat="1" ht="15.95" customHeight="1" x14ac:dyDescent="0.25">
      <c r="B37" s="103"/>
      <c r="C37" s="111"/>
      <c r="D37" s="104" t="s">
        <v>85</v>
      </c>
      <c r="E37" s="105"/>
      <c r="F37" s="106"/>
      <c r="G37" s="105"/>
      <c r="H37" s="107"/>
      <c r="I37" s="106"/>
      <c r="J37" s="107"/>
      <c r="K37" s="162" t="s">
        <v>86</v>
      </c>
      <c r="L37" s="108"/>
      <c r="M37" s="105"/>
      <c r="N37" s="106"/>
      <c r="O37" s="109"/>
      <c r="P37" s="109"/>
      <c r="Q37" s="110"/>
    </row>
    <row r="38" spans="2:17" s="80" customFormat="1" ht="15.95" customHeight="1" x14ac:dyDescent="0.25">
      <c r="B38" s="103"/>
      <c r="C38" s="86"/>
      <c r="D38" s="104" t="s">
        <v>43</v>
      </c>
      <c r="E38" s="105"/>
      <c r="F38" s="106"/>
      <c r="G38" s="105"/>
      <c r="H38" s="107"/>
      <c r="I38" s="106"/>
      <c r="J38" s="107"/>
      <c r="K38" s="107"/>
      <c r="L38" s="108"/>
      <c r="M38" s="105"/>
      <c r="N38" s="106"/>
      <c r="O38" s="109"/>
      <c r="P38" s="109"/>
      <c r="Q38" s="110"/>
    </row>
    <row r="39" spans="2:17" s="80" customFormat="1" ht="15.95" customHeight="1" x14ac:dyDescent="0.25">
      <c r="B39" s="103"/>
      <c r="C39" s="86"/>
      <c r="D39" s="104" t="s">
        <v>87</v>
      </c>
      <c r="E39" s="105"/>
      <c r="F39" s="106"/>
      <c r="G39" s="105"/>
      <c r="H39" s="107"/>
      <c r="I39" s="106"/>
      <c r="J39" s="107"/>
      <c r="K39" s="107"/>
      <c r="L39" s="108"/>
      <c r="M39" s="105"/>
      <c r="N39" s="106"/>
      <c r="O39" s="109"/>
      <c r="P39" s="109"/>
      <c r="Q39" s="110"/>
    </row>
    <row r="40" spans="2:17" s="80" customFormat="1" ht="15.95" customHeight="1" x14ac:dyDescent="0.25">
      <c r="B40" s="103"/>
      <c r="C40" s="86"/>
      <c r="D40" s="104" t="s">
        <v>83</v>
      </c>
      <c r="E40" s="105"/>
      <c r="F40" s="106"/>
      <c r="G40" s="105"/>
      <c r="H40" s="107"/>
      <c r="I40" s="106"/>
      <c r="J40" s="107"/>
      <c r="K40" s="107"/>
      <c r="L40" s="108"/>
      <c r="M40" s="105"/>
      <c r="N40" s="106"/>
      <c r="O40" s="109"/>
      <c r="P40" s="109"/>
      <c r="Q40" s="110"/>
    </row>
    <row r="41" spans="2:17" s="80" customFormat="1" ht="15.95" customHeight="1" x14ac:dyDescent="0.25">
      <c r="B41" s="103"/>
      <c r="C41" s="106"/>
      <c r="D41" s="121" t="s">
        <v>44</v>
      </c>
      <c r="E41" s="111"/>
      <c r="F41" s="106"/>
      <c r="G41" s="105"/>
      <c r="H41" s="107"/>
      <c r="I41" s="106"/>
      <c r="J41" s="107"/>
      <c r="K41" s="107"/>
      <c r="L41" s="108"/>
      <c r="M41" s="105"/>
      <c r="N41" s="106"/>
      <c r="O41" s="195">
        <v>0</v>
      </c>
      <c r="P41" s="196"/>
      <c r="Q41" s="110"/>
    </row>
    <row r="42" spans="2:17" s="80" customFormat="1" ht="6" customHeight="1" thickBot="1" x14ac:dyDescent="0.3">
      <c r="B42" s="112"/>
      <c r="C42" s="113"/>
      <c r="D42" s="114"/>
      <c r="E42" s="115"/>
      <c r="F42" s="116"/>
      <c r="G42" s="115"/>
      <c r="H42" s="117"/>
      <c r="I42" s="116"/>
      <c r="J42" s="117"/>
      <c r="K42" s="117"/>
      <c r="L42" s="118"/>
      <c r="M42" s="115"/>
      <c r="N42" s="116"/>
      <c r="O42" s="119"/>
      <c r="P42" s="119"/>
      <c r="Q42" s="120"/>
    </row>
    <row r="43" spans="2:17" ht="7.5" hidden="1" customHeight="1" x14ac:dyDescent="0.2">
      <c r="B43" s="12"/>
      <c r="C43" s="12"/>
      <c r="D43" s="12"/>
      <c r="E43" s="12"/>
      <c r="F43" s="12"/>
      <c r="G43" s="12"/>
      <c r="H43" s="12"/>
      <c r="I43" s="12"/>
      <c r="J43" s="12"/>
      <c r="K43" s="12"/>
      <c r="L43" s="12"/>
      <c r="M43" s="12"/>
      <c r="N43" s="12"/>
      <c r="O43" s="12"/>
      <c r="P43" s="12"/>
      <c r="Q43" s="12"/>
    </row>
    <row r="44" spans="2:17" s="95" customFormat="1" ht="17.25" customHeight="1" thickBot="1" x14ac:dyDescent="0.25">
      <c r="B44" s="86" t="s">
        <v>7</v>
      </c>
      <c r="E44" s="41"/>
      <c r="F44" s="42"/>
      <c r="G44" s="42"/>
      <c r="H44" s="41"/>
      <c r="I44" s="41"/>
      <c r="J44" s="41"/>
      <c r="K44" s="41"/>
      <c r="L44" s="42"/>
      <c r="M44" s="42"/>
      <c r="N44" s="40"/>
      <c r="O44" s="42"/>
      <c r="P44" s="40"/>
      <c r="Q44" s="40"/>
    </row>
    <row r="45" spans="2:17" s="80" customFormat="1" ht="10.5" customHeight="1" x14ac:dyDescent="0.25">
      <c r="B45" s="96"/>
      <c r="C45" s="97"/>
      <c r="D45" s="98"/>
      <c r="E45" s="99"/>
      <c r="F45" s="100"/>
      <c r="G45" s="99"/>
      <c r="H45" s="101"/>
      <c r="I45" s="100"/>
      <c r="J45" s="101"/>
      <c r="K45" s="101"/>
      <c r="L45" s="102"/>
      <c r="M45" s="99"/>
      <c r="N45" s="100"/>
      <c r="O45" s="199"/>
      <c r="P45" s="199"/>
      <c r="Q45" s="200"/>
    </row>
    <row r="46" spans="2:17" s="28" customFormat="1" ht="21" customHeight="1" x14ac:dyDescent="0.25">
      <c r="B46" s="21"/>
      <c r="C46" s="22"/>
      <c r="D46" s="23" t="s">
        <v>52</v>
      </c>
      <c r="E46" s="23"/>
      <c r="F46" s="24"/>
      <c r="G46" s="24"/>
      <c r="H46" s="25"/>
      <c r="I46" s="26"/>
      <c r="J46" s="22"/>
      <c r="K46" s="23" t="s">
        <v>8</v>
      </c>
      <c r="L46" s="23"/>
      <c r="M46" s="23"/>
      <c r="N46" s="24"/>
      <c r="O46" s="24"/>
      <c r="P46" s="25"/>
      <c r="Q46" s="27"/>
    </row>
    <row r="47" spans="2:17" s="15" customFormat="1" ht="21" customHeight="1" x14ac:dyDescent="0.25">
      <c r="B47" s="17"/>
      <c r="C47" s="29"/>
      <c r="D47" s="18"/>
      <c r="E47" s="18" t="s">
        <v>9</v>
      </c>
      <c r="F47" s="193">
        <f>IF(G52=0,F49+F50+G51-F55-F56-F57,F49+F50+G52-F55-F56-F57)</f>
        <v>0</v>
      </c>
      <c r="G47" s="194"/>
      <c r="H47" s="30"/>
      <c r="I47" s="18"/>
      <c r="J47" s="29"/>
      <c r="K47" s="18"/>
      <c r="L47" s="70" t="s">
        <v>9</v>
      </c>
      <c r="M47" s="186" t="s">
        <v>2</v>
      </c>
      <c r="N47" s="187"/>
      <c r="O47" s="188"/>
      <c r="P47" s="30"/>
      <c r="Q47" s="19"/>
    </row>
    <row r="48" spans="2:17" s="15" customFormat="1" ht="6.75" customHeight="1" x14ac:dyDescent="0.25">
      <c r="B48" s="17"/>
      <c r="C48" s="29"/>
      <c r="D48" s="18"/>
      <c r="E48" s="18"/>
      <c r="F48" s="31"/>
      <c r="G48" s="31"/>
      <c r="H48" s="30"/>
      <c r="I48" s="18"/>
      <c r="J48" s="29"/>
      <c r="K48" s="18"/>
      <c r="L48" s="18"/>
      <c r="M48" s="65"/>
      <c r="N48" s="65"/>
      <c r="O48" s="18"/>
      <c r="P48" s="30"/>
      <c r="Q48" s="19"/>
    </row>
    <row r="49" spans="2:20" s="15" customFormat="1" ht="21" customHeight="1" x14ac:dyDescent="0.25">
      <c r="B49" s="17"/>
      <c r="C49" s="29"/>
      <c r="D49" s="18"/>
      <c r="E49" s="18" t="s">
        <v>10</v>
      </c>
      <c r="F49" s="197">
        <v>0</v>
      </c>
      <c r="G49" s="198"/>
      <c r="H49" s="30"/>
      <c r="I49" s="18"/>
      <c r="J49" s="29"/>
      <c r="K49" s="32"/>
      <c r="L49" s="32" t="s">
        <v>55</v>
      </c>
      <c r="M49" s="180" t="s">
        <v>2</v>
      </c>
      <c r="N49" s="181"/>
      <c r="O49" s="149"/>
      <c r="P49" s="30"/>
      <c r="Q49" s="19"/>
    </row>
    <row r="50" spans="2:20" s="15" customFormat="1" ht="21" customHeight="1" x14ac:dyDescent="0.25">
      <c r="B50" s="17"/>
      <c r="C50" s="29"/>
      <c r="D50" s="18"/>
      <c r="E50" s="18" t="s">
        <v>11</v>
      </c>
      <c r="F50" s="197">
        <v>0</v>
      </c>
      <c r="G50" s="198"/>
      <c r="H50" s="30"/>
      <c r="I50" s="18"/>
      <c r="J50" s="33"/>
      <c r="K50" s="34"/>
      <c r="L50" s="34"/>
      <c r="M50" s="34"/>
      <c r="N50" s="150"/>
      <c r="O50" s="34"/>
      <c r="P50" s="36"/>
      <c r="Q50" s="19"/>
    </row>
    <row r="51" spans="2:20" s="15" customFormat="1" ht="21" customHeight="1" x14ac:dyDescent="0.25">
      <c r="B51" s="17"/>
      <c r="C51" s="64"/>
      <c r="D51" s="154">
        <v>1</v>
      </c>
      <c r="E51" s="26" t="s">
        <v>45</v>
      </c>
      <c r="F51" s="63"/>
      <c r="G51" s="156">
        <f>IF(D51=1,F50*0.21,0)</f>
        <v>0</v>
      </c>
      <c r="H51" s="30"/>
      <c r="I51" s="18"/>
      <c r="P51" s="18"/>
      <c r="Q51" s="19"/>
      <c r="T51" s="69"/>
    </row>
    <row r="52" spans="2:20" s="15" customFormat="1" ht="21.75" customHeight="1" x14ac:dyDescent="0.25">
      <c r="B52" s="17"/>
      <c r="C52" s="64"/>
      <c r="D52" s="18"/>
      <c r="E52" s="26" t="s">
        <v>46</v>
      </c>
      <c r="F52" s="63"/>
      <c r="G52" s="155">
        <f>IF(D51=2,F50*0.07,0)</f>
        <v>0</v>
      </c>
      <c r="H52" s="30"/>
      <c r="I52" s="18"/>
      <c r="P52" s="18"/>
      <c r="Q52" s="19"/>
    </row>
    <row r="53" spans="2:20" s="15" customFormat="1" ht="6" customHeight="1" x14ac:dyDescent="0.25">
      <c r="B53" s="17"/>
      <c r="C53" s="29"/>
      <c r="D53" s="18"/>
      <c r="E53" s="18"/>
      <c r="F53" s="20"/>
      <c r="G53" s="20"/>
      <c r="H53" s="30"/>
      <c r="I53" s="18"/>
      <c r="P53" s="18"/>
      <c r="Q53" s="19"/>
    </row>
    <row r="54" spans="2:20" s="15" customFormat="1" ht="6.75" customHeight="1" x14ac:dyDescent="0.25">
      <c r="B54" s="17"/>
      <c r="C54" s="29"/>
      <c r="D54" s="18"/>
      <c r="E54" s="18"/>
      <c r="F54" s="20"/>
      <c r="G54" s="20"/>
      <c r="H54" s="30"/>
      <c r="I54" s="18"/>
      <c r="P54" s="18"/>
      <c r="Q54" s="19"/>
    </row>
    <row r="55" spans="2:20" s="15" customFormat="1" ht="21" customHeight="1" x14ac:dyDescent="0.25">
      <c r="B55" s="17"/>
      <c r="C55" s="29"/>
      <c r="D55" s="18"/>
      <c r="E55" s="18" t="s">
        <v>12</v>
      </c>
      <c r="F55" s="185">
        <f>0</f>
        <v>0</v>
      </c>
      <c r="G55" s="185"/>
      <c r="H55" s="30"/>
      <c r="I55" s="18"/>
      <c r="J55" s="4" t="s">
        <v>49</v>
      </c>
      <c r="P55" s="18"/>
      <c r="Q55" s="19"/>
    </row>
    <row r="56" spans="2:20" s="15" customFormat="1" ht="21" customHeight="1" x14ac:dyDescent="0.25">
      <c r="B56" s="17"/>
      <c r="C56" s="29"/>
      <c r="D56" s="18"/>
      <c r="E56" s="18" t="s">
        <v>13</v>
      </c>
      <c r="F56" s="185">
        <v>0</v>
      </c>
      <c r="G56" s="185"/>
      <c r="H56" s="30"/>
      <c r="I56" s="18"/>
      <c r="J56" s="4" t="s">
        <v>50</v>
      </c>
      <c r="P56" s="18"/>
      <c r="Q56" s="19"/>
    </row>
    <row r="57" spans="2:20" s="15" customFormat="1" ht="21" customHeight="1" x14ac:dyDescent="0.25">
      <c r="B57" s="17"/>
      <c r="C57" s="29"/>
      <c r="D57" s="18"/>
      <c r="E57" s="18" t="s">
        <v>14</v>
      </c>
      <c r="F57" s="185">
        <v>0</v>
      </c>
      <c r="G57" s="185"/>
      <c r="H57" s="30"/>
      <c r="I57" s="18"/>
      <c r="J57" s="4" t="s">
        <v>51</v>
      </c>
      <c r="P57" s="137"/>
      <c r="Q57" s="19"/>
    </row>
    <row r="58" spans="2:20" s="15" customFormat="1" ht="10.5" customHeight="1" x14ac:dyDescent="0.25">
      <c r="B58" s="17"/>
      <c r="C58" s="33"/>
      <c r="D58" s="34"/>
      <c r="E58" s="34"/>
      <c r="F58" s="35"/>
      <c r="G58" s="35">
        <v>0</v>
      </c>
      <c r="H58" s="36"/>
      <c r="I58" s="18"/>
      <c r="P58" s="18"/>
      <c r="Q58" s="19"/>
    </row>
    <row r="59" spans="2:20" s="15" customFormat="1" ht="2.25" customHeight="1" x14ac:dyDescent="0.25">
      <c r="B59" s="17"/>
      <c r="C59" s="49"/>
      <c r="D59" s="49"/>
      <c r="E59" s="49"/>
      <c r="F59" s="49"/>
      <c r="G59" s="49">
        <v>0</v>
      </c>
      <c r="H59" s="48"/>
      <c r="I59" s="48"/>
      <c r="J59" s="18"/>
      <c r="K59" s="48"/>
      <c r="L59" s="67"/>
      <c r="M59" s="67"/>
      <c r="N59" s="67"/>
      <c r="O59" s="67"/>
      <c r="P59" s="48"/>
      <c r="Q59" s="19"/>
    </row>
    <row r="60" spans="2:20" s="80" customFormat="1" ht="6.75" customHeight="1" thickBot="1" x14ac:dyDescent="0.3">
      <c r="B60" s="112"/>
      <c r="C60" s="113"/>
      <c r="D60" s="114"/>
      <c r="E60" s="115"/>
      <c r="F60" s="116"/>
      <c r="G60" s="115"/>
      <c r="H60" s="117"/>
      <c r="I60" s="116"/>
      <c r="J60" s="117"/>
      <c r="K60" s="117"/>
      <c r="L60" s="118"/>
      <c r="M60" s="115"/>
      <c r="N60" s="116"/>
      <c r="O60" s="119"/>
      <c r="P60" s="119"/>
      <c r="Q60" s="120"/>
    </row>
    <row r="61" spans="2:20" s="18" customFormat="1" ht="7.5" customHeight="1" x14ac:dyDescent="0.25">
      <c r="C61" s="49"/>
      <c r="D61" s="49"/>
      <c r="E61" s="49"/>
      <c r="F61" s="49"/>
      <c r="G61" s="49"/>
      <c r="H61" s="48"/>
      <c r="I61" s="48"/>
      <c r="K61" s="48"/>
      <c r="L61" s="67"/>
      <c r="M61" s="67"/>
      <c r="N61" s="67"/>
      <c r="O61" s="67"/>
      <c r="P61" s="48"/>
    </row>
    <row r="62" spans="2:20" s="39" customFormat="1" ht="16.5" customHeight="1" x14ac:dyDescent="0.3">
      <c r="B62" s="175" t="s">
        <v>42</v>
      </c>
      <c r="C62" s="176"/>
      <c r="D62" s="176"/>
      <c r="E62" s="176"/>
      <c r="F62" s="177"/>
      <c r="G62" s="177"/>
      <c r="H62" s="177"/>
      <c r="I62" s="177"/>
      <c r="J62" s="177"/>
      <c r="K62" s="177"/>
      <c r="L62" s="177"/>
      <c r="M62" s="177"/>
      <c r="N62" s="178"/>
      <c r="O62" s="178"/>
      <c r="P62" s="178"/>
      <c r="Q62" s="179"/>
    </row>
    <row r="63" spans="2:20" s="39" customFormat="1" ht="16.5" customHeight="1" x14ac:dyDescent="0.3">
      <c r="B63" s="182" t="s">
        <v>21</v>
      </c>
      <c r="C63" s="183"/>
      <c r="D63" s="183"/>
      <c r="E63" s="183"/>
      <c r="F63" s="183"/>
      <c r="G63" s="183" t="s">
        <v>22</v>
      </c>
      <c r="H63" s="183"/>
      <c r="I63" s="183"/>
      <c r="J63" s="183"/>
      <c r="K63" s="183"/>
      <c r="L63" s="183"/>
      <c r="M63" s="183"/>
      <c r="N63" s="183"/>
      <c r="O63" s="183"/>
      <c r="P63" s="183"/>
      <c r="Q63" s="184"/>
    </row>
    <row r="64" spans="2:20" s="39" customFormat="1" ht="15" customHeight="1" thickBot="1" x14ac:dyDescent="0.35">
      <c r="B64" s="172" t="s">
        <v>32</v>
      </c>
      <c r="C64" s="173"/>
      <c r="D64" s="173"/>
      <c r="E64" s="173"/>
      <c r="F64" s="173"/>
      <c r="G64" s="172" t="s">
        <v>40</v>
      </c>
      <c r="H64" s="173"/>
      <c r="I64" s="173"/>
      <c r="J64" s="173"/>
      <c r="K64" s="173"/>
      <c r="L64" s="173"/>
      <c r="M64" s="173"/>
      <c r="N64" s="173"/>
      <c r="O64" s="173"/>
      <c r="P64" s="173"/>
      <c r="Q64" s="174"/>
    </row>
    <row r="65" spans="2:17" ht="2.25" customHeight="1" x14ac:dyDescent="0.2">
      <c r="B65" s="12"/>
      <c r="C65" s="12"/>
      <c r="D65" s="12"/>
      <c r="E65" s="12"/>
      <c r="F65" s="12"/>
      <c r="G65" s="12"/>
      <c r="H65" s="12"/>
      <c r="I65" s="12"/>
      <c r="J65" s="12"/>
      <c r="K65" s="12"/>
      <c r="L65" s="12"/>
      <c r="M65" s="12"/>
      <c r="N65" s="12"/>
      <c r="O65" s="12"/>
      <c r="P65" s="12"/>
      <c r="Q65" s="12"/>
    </row>
    <row r="66" spans="2:17" s="39" customFormat="1" ht="21.75" customHeight="1" x14ac:dyDescent="0.3">
      <c r="B66" s="175" t="s">
        <v>41</v>
      </c>
      <c r="C66" s="176"/>
      <c r="D66" s="176"/>
      <c r="E66" s="176"/>
      <c r="F66" s="177"/>
      <c r="G66" s="177"/>
      <c r="H66" s="177"/>
      <c r="I66" s="177"/>
      <c r="J66" s="177"/>
      <c r="K66" s="177"/>
      <c r="L66" s="177"/>
      <c r="M66" s="177"/>
      <c r="N66" s="178"/>
      <c r="O66" s="178"/>
      <c r="P66" s="178"/>
      <c r="Q66" s="179"/>
    </row>
    <row r="67" spans="2:17" s="10" customFormat="1" ht="6.75" customHeight="1" x14ac:dyDescent="0.2">
      <c r="B67" s="13"/>
      <c r="C67" s="13"/>
      <c r="D67" s="13"/>
      <c r="E67" s="13"/>
      <c r="F67" s="13"/>
      <c r="G67" s="13"/>
      <c r="H67" s="13"/>
      <c r="I67" s="13"/>
      <c r="J67" s="13"/>
      <c r="K67" s="13"/>
      <c r="L67" s="13"/>
      <c r="M67" s="13"/>
      <c r="N67" s="13"/>
      <c r="O67" s="13"/>
      <c r="P67" s="13"/>
      <c r="Q67" s="13"/>
    </row>
    <row r="68" spans="2:17" s="39" customFormat="1" ht="15.75" customHeight="1" x14ac:dyDescent="0.3">
      <c r="B68" s="175" t="str">
        <f xml:space="preserve"> "HASTA " &amp; TEXT(O41,"###.##0,00€") &amp; " EL GASTO SE IMPUTARÁ SOBRE LA CUENTA DE MORA"</f>
        <v>HASTA 0,00€ EL GASTO SE IMPUTARÁ SOBRE LA CUENTA DE MORA</v>
      </c>
      <c r="C68" s="176"/>
      <c r="D68" s="176"/>
      <c r="E68" s="176"/>
      <c r="F68" s="177"/>
      <c r="G68" s="177"/>
      <c r="H68" s="177"/>
      <c r="I68" s="177"/>
      <c r="J68" s="177"/>
      <c r="K68" s="177"/>
      <c r="L68" s="177"/>
      <c r="M68" s="177"/>
      <c r="N68" s="178"/>
      <c r="O68" s="178"/>
      <c r="P68" s="178"/>
      <c r="Q68" s="179"/>
    </row>
    <row r="69" spans="2:17" ht="7.5" customHeight="1" x14ac:dyDescent="0.2">
      <c r="B69" s="12"/>
      <c r="C69" s="12"/>
      <c r="D69" s="12"/>
      <c r="E69" s="12"/>
      <c r="F69" s="12"/>
      <c r="G69" s="12"/>
      <c r="H69" s="12"/>
      <c r="I69" s="12"/>
      <c r="J69" s="12"/>
      <c r="K69" s="12"/>
      <c r="L69" s="12"/>
      <c r="M69" s="12"/>
      <c r="N69" s="12"/>
      <c r="O69" s="12"/>
      <c r="P69" s="12"/>
      <c r="Q69" s="12"/>
    </row>
    <row r="70" spans="2:17" s="39" customFormat="1" ht="18.75" x14ac:dyDescent="0.3">
      <c r="B70" s="175" t="str">
        <f xml:space="preserve"> "EL EXCESO DE  " &amp; TEXT(O16-O41,"###.##0,00€") &amp; " SE IMPUTARÁ SOBRE LA CUENTA"</f>
        <v>EL EXCESO DE  0,00€ SE IMPUTARÁ SOBRE LA CUENTA</v>
      </c>
      <c r="C70" s="176"/>
      <c r="D70" s="176"/>
      <c r="E70" s="176"/>
      <c r="F70" s="177"/>
      <c r="G70" s="177"/>
      <c r="H70" s="177"/>
      <c r="I70" s="177"/>
      <c r="J70" s="177"/>
      <c r="K70" s="177"/>
      <c r="L70" s="177"/>
      <c r="M70" s="177"/>
      <c r="N70" s="178"/>
      <c r="O70" s="178"/>
      <c r="P70" s="178"/>
      <c r="Q70" s="179"/>
    </row>
    <row r="71" spans="2:17" s="39" customFormat="1" ht="15" customHeight="1" x14ac:dyDescent="0.3">
      <c r="B71" s="182" t="s">
        <v>21</v>
      </c>
      <c r="C71" s="183"/>
      <c r="D71" s="183"/>
      <c r="E71" s="183"/>
      <c r="F71" s="183"/>
      <c r="G71" s="183" t="s">
        <v>22</v>
      </c>
      <c r="H71" s="183"/>
      <c r="I71" s="183"/>
      <c r="J71" s="183"/>
      <c r="K71" s="183"/>
      <c r="L71" s="183"/>
      <c r="M71" s="183"/>
      <c r="N71" s="183"/>
      <c r="O71" s="183"/>
      <c r="P71" s="183"/>
      <c r="Q71" s="184"/>
    </row>
    <row r="72" spans="2:17" s="39" customFormat="1" ht="15" customHeight="1" thickBot="1" x14ac:dyDescent="0.35">
      <c r="B72" s="172" t="s">
        <v>32</v>
      </c>
      <c r="C72" s="173"/>
      <c r="D72" s="173"/>
      <c r="E72" s="173"/>
      <c r="F72" s="173"/>
      <c r="G72" s="172" t="s">
        <v>78</v>
      </c>
      <c r="H72" s="173"/>
      <c r="I72" s="173"/>
      <c r="J72" s="173"/>
      <c r="K72" s="173"/>
      <c r="L72" s="173"/>
      <c r="M72" s="173"/>
      <c r="N72" s="173"/>
      <c r="O72" s="173"/>
      <c r="P72" s="173"/>
      <c r="Q72" s="174"/>
    </row>
    <row r="73" spans="2:17" s="10" customFormat="1" ht="15" customHeight="1" thickBot="1" x14ac:dyDescent="0.25">
      <c r="B73" s="13"/>
      <c r="C73" s="13"/>
      <c r="D73" s="13"/>
      <c r="E73" s="13"/>
      <c r="F73" s="13"/>
      <c r="G73" s="13"/>
      <c r="H73" s="13"/>
      <c r="I73" s="13"/>
      <c r="J73" s="13"/>
      <c r="K73" s="13"/>
      <c r="L73" s="13"/>
      <c r="M73" s="13"/>
      <c r="N73" s="13"/>
      <c r="O73" s="13"/>
      <c r="P73" s="13"/>
      <c r="Q73" s="13"/>
    </row>
    <row r="74" spans="2:17" ht="15" customHeight="1" x14ac:dyDescent="0.2">
      <c r="B74" s="163" t="s">
        <v>88</v>
      </c>
      <c r="C74" s="164"/>
      <c r="D74" s="164"/>
      <c r="E74" s="164"/>
      <c r="F74" s="164"/>
      <c r="G74" s="164"/>
      <c r="H74" s="164"/>
      <c r="I74" s="164"/>
      <c r="J74" s="164"/>
      <c r="K74" s="164"/>
      <c r="L74" s="164"/>
      <c r="M74" s="164"/>
      <c r="N74" s="164"/>
      <c r="O74" s="164"/>
      <c r="P74" s="164"/>
      <c r="Q74" s="165"/>
    </row>
    <row r="75" spans="2:17" ht="15" customHeight="1" x14ac:dyDescent="0.2">
      <c r="B75" s="166"/>
      <c r="C75" s="167"/>
      <c r="D75" s="167"/>
      <c r="E75" s="167"/>
      <c r="F75" s="167"/>
      <c r="G75" s="167"/>
      <c r="H75" s="167"/>
      <c r="I75" s="167"/>
      <c r="J75" s="167"/>
      <c r="K75" s="167"/>
      <c r="L75" s="167"/>
      <c r="M75" s="167"/>
      <c r="N75" s="167"/>
      <c r="O75" s="167"/>
      <c r="P75" s="167"/>
      <c r="Q75" s="168"/>
    </row>
    <row r="76" spans="2:17" ht="15" customHeight="1" x14ac:dyDescent="0.2">
      <c r="B76" s="166"/>
      <c r="C76" s="167"/>
      <c r="D76" s="167"/>
      <c r="E76" s="167"/>
      <c r="F76" s="167"/>
      <c r="G76" s="167"/>
      <c r="H76" s="167"/>
      <c r="I76" s="167"/>
      <c r="J76" s="167"/>
      <c r="K76" s="167"/>
      <c r="L76" s="167"/>
      <c r="M76" s="167"/>
      <c r="N76" s="167"/>
      <c r="O76" s="167"/>
      <c r="P76" s="167"/>
      <c r="Q76" s="168"/>
    </row>
    <row r="77" spans="2:17" ht="15" customHeight="1" x14ac:dyDescent="0.2">
      <c r="B77" s="166"/>
      <c r="C77" s="167"/>
      <c r="D77" s="167"/>
      <c r="E77" s="167"/>
      <c r="F77" s="167"/>
      <c r="G77" s="167"/>
      <c r="H77" s="167"/>
      <c r="I77" s="167"/>
      <c r="J77" s="167"/>
      <c r="K77" s="167"/>
      <c r="L77" s="167"/>
      <c r="M77" s="167"/>
      <c r="N77" s="167"/>
      <c r="O77" s="167"/>
      <c r="P77" s="167"/>
      <c r="Q77" s="168"/>
    </row>
    <row r="78" spans="2:17" ht="15" customHeight="1" x14ac:dyDescent="0.2">
      <c r="B78" s="166"/>
      <c r="C78" s="167"/>
      <c r="D78" s="167"/>
      <c r="E78" s="167"/>
      <c r="F78" s="167"/>
      <c r="G78" s="167"/>
      <c r="H78" s="167"/>
      <c r="I78" s="167"/>
      <c r="J78" s="167"/>
      <c r="K78" s="167"/>
      <c r="L78" s="167"/>
      <c r="M78" s="167"/>
      <c r="N78" s="167"/>
      <c r="O78" s="167"/>
      <c r="P78" s="167"/>
      <c r="Q78" s="168"/>
    </row>
    <row r="79" spans="2:17" ht="15" customHeight="1" x14ac:dyDescent="0.2">
      <c r="B79" s="166"/>
      <c r="C79" s="167"/>
      <c r="D79" s="167"/>
      <c r="E79" s="167"/>
      <c r="F79" s="167"/>
      <c r="G79" s="167"/>
      <c r="H79" s="167"/>
      <c r="I79" s="167"/>
      <c r="J79" s="167"/>
      <c r="K79" s="167"/>
      <c r="L79" s="167"/>
      <c r="M79" s="167"/>
      <c r="N79" s="167"/>
      <c r="O79" s="167"/>
      <c r="P79" s="167"/>
      <c r="Q79" s="168"/>
    </row>
    <row r="80" spans="2:17" ht="15" customHeight="1" x14ac:dyDescent="0.2">
      <c r="B80" s="166"/>
      <c r="C80" s="167"/>
      <c r="D80" s="167"/>
      <c r="E80" s="167"/>
      <c r="F80" s="167"/>
      <c r="G80" s="167"/>
      <c r="H80" s="167"/>
      <c r="I80" s="167"/>
      <c r="J80" s="167"/>
      <c r="K80" s="167"/>
      <c r="L80" s="167"/>
      <c r="M80" s="167"/>
      <c r="N80" s="167"/>
      <c r="O80" s="167"/>
      <c r="P80" s="167"/>
      <c r="Q80" s="168"/>
    </row>
    <row r="81" spans="2:17" ht="141.75" customHeight="1" x14ac:dyDescent="0.2">
      <c r="B81" s="166"/>
      <c r="C81" s="167"/>
      <c r="D81" s="167"/>
      <c r="E81" s="167"/>
      <c r="F81" s="167"/>
      <c r="G81" s="167"/>
      <c r="H81" s="167"/>
      <c r="I81" s="167"/>
      <c r="J81" s="167"/>
      <c r="K81" s="167"/>
      <c r="L81" s="167"/>
      <c r="M81" s="167"/>
      <c r="N81" s="167"/>
      <c r="O81" s="167"/>
      <c r="P81" s="167"/>
      <c r="Q81" s="168"/>
    </row>
    <row r="82" spans="2:17" ht="15" customHeight="1" x14ac:dyDescent="0.2">
      <c r="B82" s="166"/>
      <c r="C82" s="167"/>
      <c r="D82" s="167"/>
      <c r="E82" s="167"/>
      <c r="F82" s="167"/>
      <c r="G82" s="167"/>
      <c r="H82" s="167"/>
      <c r="I82" s="167"/>
      <c r="J82" s="167"/>
      <c r="K82" s="167"/>
      <c r="L82" s="167"/>
      <c r="M82" s="167"/>
      <c r="N82" s="167"/>
      <c r="O82" s="167"/>
      <c r="P82" s="167"/>
      <c r="Q82" s="168"/>
    </row>
    <row r="83" spans="2:17" ht="15" customHeight="1" x14ac:dyDescent="0.2">
      <c r="B83" s="166"/>
      <c r="C83" s="167"/>
      <c r="D83" s="167"/>
      <c r="E83" s="167"/>
      <c r="F83" s="167"/>
      <c r="G83" s="167"/>
      <c r="H83" s="167"/>
      <c r="I83" s="167"/>
      <c r="J83" s="167"/>
      <c r="K83" s="167"/>
      <c r="L83" s="167"/>
      <c r="M83" s="167"/>
      <c r="N83" s="167"/>
      <c r="O83" s="167"/>
      <c r="P83" s="167"/>
      <c r="Q83" s="168"/>
    </row>
    <row r="84" spans="2:17" ht="15" customHeight="1" x14ac:dyDescent="0.2">
      <c r="B84" s="166"/>
      <c r="C84" s="167"/>
      <c r="D84" s="167"/>
      <c r="E84" s="167"/>
      <c r="F84" s="167"/>
      <c r="G84" s="167"/>
      <c r="H84" s="167"/>
      <c r="I84" s="167"/>
      <c r="J84" s="167"/>
      <c r="K84" s="167"/>
      <c r="L84" s="167"/>
      <c r="M84" s="167"/>
      <c r="N84" s="167"/>
      <c r="O84" s="167"/>
      <c r="P84" s="167"/>
      <c r="Q84" s="168"/>
    </row>
    <row r="85" spans="2:17" ht="15" customHeight="1" x14ac:dyDescent="0.2">
      <c r="B85" s="166"/>
      <c r="C85" s="167"/>
      <c r="D85" s="167"/>
      <c r="E85" s="167"/>
      <c r="F85" s="167"/>
      <c r="G85" s="167"/>
      <c r="H85" s="167"/>
      <c r="I85" s="167"/>
      <c r="J85" s="167"/>
      <c r="K85" s="167"/>
      <c r="L85" s="167"/>
      <c r="M85" s="167"/>
      <c r="N85" s="167"/>
      <c r="O85" s="167"/>
      <c r="P85" s="167"/>
      <c r="Q85" s="168"/>
    </row>
    <row r="86" spans="2:17" ht="15" customHeight="1" x14ac:dyDescent="0.2">
      <c r="B86" s="166"/>
      <c r="C86" s="167"/>
      <c r="D86" s="167"/>
      <c r="E86" s="167"/>
      <c r="F86" s="167"/>
      <c r="G86" s="167"/>
      <c r="H86" s="167"/>
      <c r="I86" s="167"/>
      <c r="J86" s="167"/>
      <c r="K86" s="167"/>
      <c r="L86" s="167"/>
      <c r="M86" s="167"/>
      <c r="N86" s="167"/>
      <c r="O86" s="167"/>
      <c r="P86" s="167"/>
      <c r="Q86" s="168"/>
    </row>
    <row r="87" spans="2:17" ht="15" customHeight="1" x14ac:dyDescent="0.2">
      <c r="B87" s="166"/>
      <c r="C87" s="167"/>
      <c r="D87" s="167"/>
      <c r="E87" s="167"/>
      <c r="F87" s="167"/>
      <c r="G87" s="167"/>
      <c r="H87" s="167"/>
      <c r="I87" s="167"/>
      <c r="J87" s="167"/>
      <c r="K87" s="167"/>
      <c r="L87" s="167"/>
      <c r="M87" s="167"/>
      <c r="N87" s="167"/>
      <c r="O87" s="167"/>
      <c r="P87" s="167"/>
      <c r="Q87" s="168"/>
    </row>
    <row r="88" spans="2:17" ht="15" customHeight="1" x14ac:dyDescent="0.2">
      <c r="B88" s="166"/>
      <c r="C88" s="167"/>
      <c r="D88" s="167"/>
      <c r="E88" s="167"/>
      <c r="F88" s="167"/>
      <c r="G88" s="167"/>
      <c r="H88" s="167"/>
      <c r="I88" s="167"/>
      <c r="J88" s="167"/>
      <c r="K88" s="167"/>
      <c r="L88" s="167"/>
      <c r="M88" s="167"/>
      <c r="N88" s="167"/>
      <c r="O88" s="167"/>
      <c r="P88" s="167"/>
      <c r="Q88" s="168"/>
    </row>
    <row r="89" spans="2:17" ht="15" customHeight="1" x14ac:dyDescent="0.2">
      <c r="B89" s="166"/>
      <c r="C89" s="167"/>
      <c r="D89" s="167"/>
      <c r="E89" s="167"/>
      <c r="F89" s="167"/>
      <c r="G89" s="167"/>
      <c r="H89" s="167"/>
      <c r="I89" s="167"/>
      <c r="J89" s="167"/>
      <c r="K89" s="167"/>
      <c r="L89" s="167"/>
      <c r="M89" s="167"/>
      <c r="N89" s="167"/>
      <c r="O89" s="167"/>
      <c r="P89" s="167"/>
      <c r="Q89" s="168"/>
    </row>
    <row r="90" spans="2:17" ht="15" customHeight="1" x14ac:dyDescent="0.2">
      <c r="B90" s="166"/>
      <c r="C90" s="167"/>
      <c r="D90" s="167"/>
      <c r="E90" s="167"/>
      <c r="F90" s="167"/>
      <c r="G90" s="167"/>
      <c r="H90" s="167"/>
      <c r="I90" s="167"/>
      <c r="J90" s="167"/>
      <c r="K90" s="167"/>
      <c r="L90" s="167"/>
      <c r="M90" s="167"/>
      <c r="N90" s="167"/>
      <c r="O90" s="167"/>
      <c r="P90" s="167"/>
      <c r="Q90" s="168"/>
    </row>
    <row r="91" spans="2:17" ht="15" customHeight="1" x14ac:dyDescent="0.2">
      <c r="B91" s="166"/>
      <c r="C91" s="167"/>
      <c r="D91" s="167"/>
      <c r="E91" s="167"/>
      <c r="F91" s="167"/>
      <c r="G91" s="167"/>
      <c r="H91" s="167"/>
      <c r="I91" s="167"/>
      <c r="J91" s="167"/>
      <c r="K91" s="167"/>
      <c r="L91" s="167"/>
      <c r="M91" s="167"/>
      <c r="N91" s="167"/>
      <c r="O91" s="167"/>
      <c r="P91" s="167"/>
      <c r="Q91" s="168"/>
    </row>
    <row r="92" spans="2:17" ht="15" customHeight="1" x14ac:dyDescent="0.2">
      <c r="B92" s="166"/>
      <c r="C92" s="167"/>
      <c r="D92" s="167"/>
      <c r="E92" s="167"/>
      <c r="F92" s="167"/>
      <c r="G92" s="167"/>
      <c r="H92" s="167"/>
      <c r="I92" s="167"/>
      <c r="J92" s="167"/>
      <c r="K92" s="167"/>
      <c r="L92" s="167"/>
      <c r="M92" s="167"/>
      <c r="N92" s="167"/>
      <c r="O92" s="167"/>
      <c r="P92" s="167"/>
      <c r="Q92" s="168"/>
    </row>
    <row r="93" spans="2:17" ht="15" customHeight="1" x14ac:dyDescent="0.2">
      <c r="B93" s="166"/>
      <c r="C93" s="167"/>
      <c r="D93" s="167"/>
      <c r="E93" s="167"/>
      <c r="F93" s="167"/>
      <c r="G93" s="167"/>
      <c r="H93" s="167"/>
      <c r="I93" s="167"/>
      <c r="J93" s="167"/>
      <c r="K93" s="167"/>
      <c r="L93" s="167"/>
      <c r="M93" s="167"/>
      <c r="N93" s="167"/>
      <c r="O93" s="167"/>
      <c r="P93" s="167"/>
      <c r="Q93" s="168"/>
    </row>
    <row r="94" spans="2:17" ht="15" customHeight="1" x14ac:dyDescent="0.2">
      <c r="B94" s="166"/>
      <c r="C94" s="167"/>
      <c r="D94" s="167"/>
      <c r="E94" s="167"/>
      <c r="F94" s="167"/>
      <c r="G94" s="167"/>
      <c r="H94" s="167"/>
      <c r="I94" s="167"/>
      <c r="J94" s="167"/>
      <c r="K94" s="167"/>
      <c r="L94" s="167"/>
      <c r="M94" s="167"/>
      <c r="N94" s="167"/>
      <c r="O94" s="167"/>
      <c r="P94" s="167"/>
      <c r="Q94" s="168"/>
    </row>
    <row r="95" spans="2:17" ht="15" customHeight="1" x14ac:dyDescent="0.2">
      <c r="B95" s="166"/>
      <c r="C95" s="167"/>
      <c r="D95" s="167"/>
      <c r="E95" s="167"/>
      <c r="F95" s="167"/>
      <c r="G95" s="167"/>
      <c r="H95" s="167"/>
      <c r="I95" s="167"/>
      <c r="J95" s="167"/>
      <c r="K95" s="167"/>
      <c r="L95" s="167"/>
      <c r="M95" s="167"/>
      <c r="N95" s="167"/>
      <c r="O95" s="167"/>
      <c r="P95" s="167"/>
      <c r="Q95" s="168"/>
    </row>
    <row r="96" spans="2:17" ht="15" customHeight="1" x14ac:dyDescent="0.2">
      <c r="B96" s="166"/>
      <c r="C96" s="167"/>
      <c r="D96" s="167"/>
      <c r="E96" s="167"/>
      <c r="F96" s="167"/>
      <c r="G96" s="167"/>
      <c r="H96" s="167"/>
      <c r="I96" s="167"/>
      <c r="J96" s="167"/>
      <c r="K96" s="167"/>
      <c r="L96" s="167"/>
      <c r="M96" s="167"/>
      <c r="N96" s="167"/>
      <c r="O96" s="167"/>
      <c r="P96" s="167"/>
      <c r="Q96" s="168"/>
    </row>
    <row r="97" spans="2:17" ht="15" customHeight="1" x14ac:dyDescent="0.2">
      <c r="B97" s="166"/>
      <c r="C97" s="167"/>
      <c r="D97" s="167"/>
      <c r="E97" s="167"/>
      <c r="F97" s="167"/>
      <c r="G97" s="167"/>
      <c r="H97" s="167"/>
      <c r="I97" s="167"/>
      <c r="J97" s="167"/>
      <c r="K97" s="167"/>
      <c r="L97" s="167"/>
      <c r="M97" s="167"/>
      <c r="N97" s="167"/>
      <c r="O97" s="167"/>
      <c r="P97" s="167"/>
      <c r="Q97" s="168"/>
    </row>
    <row r="98" spans="2:17" ht="15" customHeight="1" x14ac:dyDescent="0.2">
      <c r="B98" s="166"/>
      <c r="C98" s="167"/>
      <c r="D98" s="167"/>
      <c r="E98" s="167"/>
      <c r="F98" s="167"/>
      <c r="G98" s="167"/>
      <c r="H98" s="167"/>
      <c r="I98" s="167"/>
      <c r="J98" s="167"/>
      <c r="K98" s="167"/>
      <c r="L98" s="167"/>
      <c r="M98" s="167"/>
      <c r="N98" s="167"/>
      <c r="O98" s="167"/>
      <c r="P98" s="167"/>
      <c r="Q98" s="168"/>
    </row>
    <row r="99" spans="2:17" ht="15" customHeight="1" x14ac:dyDescent="0.2">
      <c r="B99" s="166"/>
      <c r="C99" s="167"/>
      <c r="D99" s="167"/>
      <c r="E99" s="167"/>
      <c r="F99" s="167"/>
      <c r="G99" s="167"/>
      <c r="H99" s="167"/>
      <c r="I99" s="167"/>
      <c r="J99" s="167"/>
      <c r="K99" s="167"/>
      <c r="L99" s="167"/>
      <c r="M99" s="167"/>
      <c r="N99" s="167"/>
      <c r="O99" s="167"/>
      <c r="P99" s="167"/>
      <c r="Q99" s="168"/>
    </row>
    <row r="100" spans="2:17" ht="15" customHeight="1" x14ac:dyDescent="0.2">
      <c r="B100" s="166"/>
      <c r="C100" s="167"/>
      <c r="D100" s="167"/>
      <c r="E100" s="167"/>
      <c r="F100" s="167"/>
      <c r="G100" s="167"/>
      <c r="H100" s="167"/>
      <c r="I100" s="167"/>
      <c r="J100" s="167"/>
      <c r="K100" s="167"/>
      <c r="L100" s="167"/>
      <c r="M100" s="167"/>
      <c r="N100" s="167"/>
      <c r="O100" s="167"/>
      <c r="P100" s="167"/>
      <c r="Q100" s="168"/>
    </row>
    <row r="101" spans="2:17" ht="15" customHeight="1" x14ac:dyDescent="0.2">
      <c r="B101" s="166"/>
      <c r="C101" s="167"/>
      <c r="D101" s="167"/>
      <c r="E101" s="167"/>
      <c r="F101" s="167"/>
      <c r="G101" s="167"/>
      <c r="H101" s="167"/>
      <c r="I101" s="167"/>
      <c r="J101" s="167"/>
      <c r="K101" s="167"/>
      <c r="L101" s="167"/>
      <c r="M101" s="167"/>
      <c r="N101" s="167"/>
      <c r="O101" s="167"/>
      <c r="P101" s="167"/>
      <c r="Q101" s="168"/>
    </row>
    <row r="102" spans="2:17" ht="15" customHeight="1" x14ac:dyDescent="0.2">
      <c r="B102" s="166"/>
      <c r="C102" s="167"/>
      <c r="D102" s="167"/>
      <c r="E102" s="167"/>
      <c r="F102" s="167"/>
      <c r="G102" s="167"/>
      <c r="H102" s="167"/>
      <c r="I102" s="167"/>
      <c r="J102" s="167"/>
      <c r="K102" s="167"/>
      <c r="L102" s="167"/>
      <c r="M102" s="167"/>
      <c r="N102" s="167"/>
      <c r="O102" s="167"/>
      <c r="P102" s="167"/>
      <c r="Q102" s="168"/>
    </row>
    <row r="103" spans="2:17" ht="15" customHeight="1" x14ac:dyDescent="0.2">
      <c r="B103" s="166"/>
      <c r="C103" s="167"/>
      <c r="D103" s="167"/>
      <c r="E103" s="167"/>
      <c r="F103" s="167"/>
      <c r="G103" s="167"/>
      <c r="H103" s="167"/>
      <c r="I103" s="167"/>
      <c r="J103" s="167"/>
      <c r="K103" s="167"/>
      <c r="L103" s="167"/>
      <c r="M103" s="167"/>
      <c r="N103" s="167"/>
      <c r="O103" s="167"/>
      <c r="P103" s="167"/>
      <c r="Q103" s="168"/>
    </row>
    <row r="104" spans="2:17" ht="15" customHeight="1" x14ac:dyDescent="0.2">
      <c r="B104" s="166"/>
      <c r="C104" s="167"/>
      <c r="D104" s="167"/>
      <c r="E104" s="167"/>
      <c r="F104" s="167"/>
      <c r="G104" s="167"/>
      <c r="H104" s="167"/>
      <c r="I104" s="167"/>
      <c r="J104" s="167"/>
      <c r="K104" s="167"/>
      <c r="L104" s="167"/>
      <c r="M104" s="167"/>
      <c r="N104" s="167"/>
      <c r="O104" s="167"/>
      <c r="P104" s="167"/>
      <c r="Q104" s="168"/>
    </row>
    <row r="105" spans="2:17" ht="15" customHeight="1" x14ac:dyDescent="0.2">
      <c r="B105" s="166"/>
      <c r="C105" s="167"/>
      <c r="D105" s="167"/>
      <c r="E105" s="167"/>
      <c r="F105" s="167"/>
      <c r="G105" s="167"/>
      <c r="H105" s="167"/>
      <c r="I105" s="167"/>
      <c r="J105" s="167"/>
      <c r="K105" s="167"/>
      <c r="L105" s="167"/>
      <c r="M105" s="167"/>
      <c r="N105" s="167"/>
      <c r="O105" s="167"/>
      <c r="P105" s="167"/>
      <c r="Q105" s="168"/>
    </row>
    <row r="106" spans="2:17" ht="15" customHeight="1" x14ac:dyDescent="0.2">
      <c r="B106" s="166"/>
      <c r="C106" s="167"/>
      <c r="D106" s="167"/>
      <c r="E106" s="167"/>
      <c r="F106" s="167"/>
      <c r="G106" s="167"/>
      <c r="H106" s="167"/>
      <c r="I106" s="167"/>
      <c r="J106" s="167"/>
      <c r="K106" s="167"/>
      <c r="L106" s="167"/>
      <c r="M106" s="167"/>
      <c r="N106" s="167"/>
      <c r="O106" s="167"/>
      <c r="P106" s="167"/>
      <c r="Q106" s="168"/>
    </row>
    <row r="107" spans="2:17" ht="15" customHeight="1" x14ac:dyDescent="0.2">
      <c r="B107" s="166"/>
      <c r="C107" s="167"/>
      <c r="D107" s="167"/>
      <c r="E107" s="167"/>
      <c r="F107" s="167"/>
      <c r="G107" s="167"/>
      <c r="H107" s="167"/>
      <c r="I107" s="167"/>
      <c r="J107" s="167"/>
      <c r="K107" s="167"/>
      <c r="L107" s="167"/>
      <c r="M107" s="167"/>
      <c r="N107" s="167"/>
      <c r="O107" s="167"/>
      <c r="P107" s="167"/>
      <c r="Q107" s="168"/>
    </row>
    <row r="108" spans="2:17" ht="15" customHeight="1" x14ac:dyDescent="0.2">
      <c r="B108" s="166"/>
      <c r="C108" s="167"/>
      <c r="D108" s="167"/>
      <c r="E108" s="167"/>
      <c r="F108" s="167"/>
      <c r="G108" s="167"/>
      <c r="H108" s="167"/>
      <c r="I108" s="167"/>
      <c r="J108" s="167"/>
      <c r="K108" s="167"/>
      <c r="L108" s="167"/>
      <c r="M108" s="167"/>
      <c r="N108" s="167"/>
      <c r="O108" s="167"/>
      <c r="P108" s="167"/>
      <c r="Q108" s="168"/>
    </row>
    <row r="109" spans="2:17" ht="15" customHeight="1" x14ac:dyDescent="0.2">
      <c r="B109" s="166"/>
      <c r="C109" s="167"/>
      <c r="D109" s="167"/>
      <c r="E109" s="167"/>
      <c r="F109" s="167"/>
      <c r="G109" s="167"/>
      <c r="H109" s="167"/>
      <c r="I109" s="167"/>
      <c r="J109" s="167"/>
      <c r="K109" s="167"/>
      <c r="L109" s="167"/>
      <c r="M109" s="167"/>
      <c r="N109" s="167"/>
      <c r="O109" s="167"/>
      <c r="P109" s="167"/>
      <c r="Q109" s="168"/>
    </row>
    <row r="110" spans="2:17" ht="15" customHeight="1" x14ac:dyDescent="0.2">
      <c r="B110" s="166"/>
      <c r="C110" s="167"/>
      <c r="D110" s="167"/>
      <c r="E110" s="167"/>
      <c r="F110" s="167"/>
      <c r="G110" s="167"/>
      <c r="H110" s="167"/>
      <c r="I110" s="167"/>
      <c r="J110" s="167"/>
      <c r="K110" s="167"/>
      <c r="L110" s="167"/>
      <c r="M110" s="167"/>
      <c r="N110" s="167"/>
      <c r="O110" s="167"/>
      <c r="P110" s="167"/>
      <c r="Q110" s="168"/>
    </row>
    <row r="111" spans="2:17" ht="15" customHeight="1" x14ac:dyDescent="0.2">
      <c r="B111" s="166"/>
      <c r="C111" s="167"/>
      <c r="D111" s="167"/>
      <c r="E111" s="167"/>
      <c r="F111" s="167"/>
      <c r="G111" s="167"/>
      <c r="H111" s="167"/>
      <c r="I111" s="167"/>
      <c r="J111" s="167"/>
      <c r="K111" s="167"/>
      <c r="L111" s="167"/>
      <c r="M111" s="167"/>
      <c r="N111" s="167"/>
      <c r="O111" s="167"/>
      <c r="P111" s="167"/>
      <c r="Q111" s="168"/>
    </row>
    <row r="112" spans="2:17" ht="15" customHeight="1" x14ac:dyDescent="0.2">
      <c r="B112" s="166"/>
      <c r="C112" s="167"/>
      <c r="D112" s="167"/>
      <c r="E112" s="167"/>
      <c r="F112" s="167"/>
      <c r="G112" s="167"/>
      <c r="H112" s="167"/>
      <c r="I112" s="167"/>
      <c r="J112" s="167"/>
      <c r="K112" s="167"/>
      <c r="L112" s="167"/>
      <c r="M112" s="167"/>
      <c r="N112" s="167"/>
      <c r="O112" s="167"/>
      <c r="P112" s="167"/>
      <c r="Q112" s="168"/>
    </row>
    <row r="113" spans="2:17" ht="15" customHeight="1" x14ac:dyDescent="0.2">
      <c r="B113" s="166"/>
      <c r="C113" s="167"/>
      <c r="D113" s="167"/>
      <c r="E113" s="167"/>
      <c r="F113" s="167"/>
      <c r="G113" s="167"/>
      <c r="H113" s="167"/>
      <c r="I113" s="167"/>
      <c r="J113" s="167"/>
      <c r="K113" s="167"/>
      <c r="L113" s="167"/>
      <c r="M113" s="167"/>
      <c r="N113" s="167"/>
      <c r="O113" s="167"/>
      <c r="P113" s="167"/>
      <c r="Q113" s="168"/>
    </row>
    <row r="114" spans="2:17" ht="15" customHeight="1" thickBot="1" x14ac:dyDescent="0.25">
      <c r="B114" s="169"/>
      <c r="C114" s="170"/>
      <c r="D114" s="170"/>
      <c r="E114" s="170"/>
      <c r="F114" s="170"/>
      <c r="G114" s="170"/>
      <c r="H114" s="170"/>
      <c r="I114" s="170"/>
      <c r="J114" s="170"/>
      <c r="K114" s="170"/>
      <c r="L114" s="170"/>
      <c r="M114" s="170"/>
      <c r="N114" s="170"/>
      <c r="O114" s="170"/>
      <c r="P114" s="170"/>
      <c r="Q114" s="171"/>
    </row>
    <row r="5151" spans="6:6" x14ac:dyDescent="0.2">
      <c r="F5151" s="4">
        <v>1</v>
      </c>
    </row>
  </sheetData>
  <sheetProtection selectLockedCells="1" selectUnlockedCells="1"/>
  <mergeCells count="56">
    <mergeCell ref="D28:G28"/>
    <mergeCell ref="D27:G27"/>
    <mergeCell ref="H10:K10"/>
    <mergeCell ref="L10:M10"/>
    <mergeCell ref="B11:D11"/>
    <mergeCell ref="L12:M12"/>
    <mergeCell ref="H12:K12"/>
    <mergeCell ref="C16:L16"/>
    <mergeCell ref="H28:O28"/>
    <mergeCell ref="B5:Q5"/>
    <mergeCell ref="G6:Q6"/>
    <mergeCell ref="B7:E7"/>
    <mergeCell ref="G7:Q7"/>
    <mergeCell ref="B8:E8"/>
    <mergeCell ref="G8:Q8"/>
    <mergeCell ref="O45:Q45"/>
    <mergeCell ref="B9:Q9"/>
    <mergeCell ref="G21:O21"/>
    <mergeCell ref="O36:Q36"/>
    <mergeCell ref="B14:K14"/>
    <mergeCell ref="L14:L15"/>
    <mergeCell ref="N14:Q14"/>
    <mergeCell ref="D32:G32"/>
    <mergeCell ref="G22:O22"/>
    <mergeCell ref="B25:K25"/>
    <mergeCell ref="L25:L26"/>
    <mergeCell ref="N25:Q25"/>
    <mergeCell ref="D30:G30"/>
    <mergeCell ref="D31:G31"/>
    <mergeCell ref="H27:O27"/>
    <mergeCell ref="D29:G29"/>
    <mergeCell ref="M47:O47"/>
    <mergeCell ref="O16:P16"/>
    <mergeCell ref="H11:K11"/>
    <mergeCell ref="L11:M11"/>
    <mergeCell ref="B72:F72"/>
    <mergeCell ref="G72:Q72"/>
    <mergeCell ref="B64:F64"/>
    <mergeCell ref="B68:Q68"/>
    <mergeCell ref="F47:G47"/>
    <mergeCell ref="O41:P41"/>
    <mergeCell ref="B62:Q62"/>
    <mergeCell ref="B63:F63"/>
    <mergeCell ref="G63:Q63"/>
    <mergeCell ref="F57:G57"/>
    <mergeCell ref="F49:G49"/>
    <mergeCell ref="F50:G50"/>
    <mergeCell ref="B74:Q114"/>
    <mergeCell ref="G64:Q64"/>
    <mergeCell ref="B66:Q66"/>
    <mergeCell ref="M49:N49"/>
    <mergeCell ref="B70:Q70"/>
    <mergeCell ref="B71:F71"/>
    <mergeCell ref="G71:Q71"/>
    <mergeCell ref="F55:G55"/>
    <mergeCell ref="F56:G56"/>
  </mergeCells>
  <conditionalFormatting sqref="O16">
    <cfRule type="expression" dxfId="3" priority="3">
      <formula>IF(R16="n",TRUE,FALSE)</formula>
    </cfRule>
  </conditionalFormatting>
  <conditionalFormatting sqref="O41:P41">
    <cfRule type="expression" dxfId="2" priority="1">
      <formula>IF(R36="n",TRUE,FALSE)</formula>
    </cfRule>
  </conditionalFormatting>
  <dataValidations count="2">
    <dataValidation type="list" allowBlank="1" showInputMessage="1" showErrorMessage="1" sqref="D32 P57">
      <formula1>"SI,NO"</formula1>
    </dataValidation>
    <dataValidation type="list" allowBlank="1" showInputMessage="1" showErrorMessage="1" sqref="D30">
      <formula1>"M,T,S,F"</formula1>
    </dataValidation>
  </dataValidations>
  <hyperlinks>
    <hyperlink ref="G8" r:id="rId1"/>
  </hyperlinks>
  <pageMargins left="0.23622047244094491" right="0.23622047244094491" top="0.19685039370078741" bottom="0" header="0.31496062992125984" footer="0.31496062992125984"/>
  <pageSetup paperSize="9" scale="77" fitToHeight="2" orientation="portrait" r:id="rId2"/>
  <rowBreaks count="1" manualBreakCount="1">
    <brk id="73" max="16" man="1"/>
  </rowBreaks>
  <drawing r:id="rId3"/>
  <legacyDrawing r:id="rId4"/>
  <mc:AlternateContent xmlns:mc="http://schemas.openxmlformats.org/markup-compatibility/2006">
    <mc:Choice Requires="x14">
      <controls>
        <mc:AlternateContent xmlns:mc="http://schemas.openxmlformats.org/markup-compatibility/2006">
          <mc:Choice Requires="x14">
            <control shapeId="1033" r:id="rId5" name="Option Button 9">
              <controlPr defaultSize="0" autoFill="0" autoLine="0" autoPict="0" macro="[1]!GPS" altText="">
                <anchor moveWithCells="1">
                  <from>
                    <xdr:col>2</xdr:col>
                    <xdr:colOff>28575</xdr:colOff>
                    <xdr:row>37</xdr:row>
                    <xdr:rowOff>0</xdr:rowOff>
                  </from>
                  <to>
                    <xdr:col>3</xdr:col>
                    <xdr:colOff>95250</xdr:colOff>
                    <xdr:row>38</xdr:row>
                    <xdr:rowOff>19050</xdr:rowOff>
                  </to>
                </anchor>
              </controlPr>
            </control>
          </mc:Choice>
        </mc:AlternateContent>
        <mc:AlternateContent xmlns:mc="http://schemas.openxmlformats.org/markup-compatibility/2006">
          <mc:Choice Requires="x14">
            <control shapeId="1034" r:id="rId6" name="Option Button 10">
              <controlPr defaultSize="0" autoFill="0" autoLine="0" autoPict="0" macro="[1]!MORA">
                <anchor moveWithCells="1">
                  <from>
                    <xdr:col>2</xdr:col>
                    <xdr:colOff>28575</xdr:colOff>
                    <xdr:row>38</xdr:row>
                    <xdr:rowOff>0</xdr:rowOff>
                  </from>
                  <to>
                    <xdr:col>3</xdr:col>
                    <xdr:colOff>114300</xdr:colOff>
                    <xdr:row>39</xdr:row>
                    <xdr:rowOff>28575</xdr:rowOff>
                  </to>
                </anchor>
              </controlPr>
            </control>
          </mc:Choice>
        </mc:AlternateContent>
        <mc:AlternateContent xmlns:mc="http://schemas.openxmlformats.org/markup-compatibility/2006">
          <mc:Choice Requires="x14">
            <control shapeId="1035" r:id="rId7" name="Button 11">
              <controlPr defaultSize="0" print="0" autoFill="0" autoPict="0" macro="[0]!Imprimir">
                <anchor moveWithCells="1">
                  <from>
                    <xdr:col>5</xdr:col>
                    <xdr:colOff>790575</xdr:colOff>
                    <xdr:row>0</xdr:row>
                    <xdr:rowOff>257175</xdr:rowOff>
                  </from>
                  <to>
                    <xdr:col>9</xdr:col>
                    <xdr:colOff>19050</xdr:colOff>
                    <xdr:row>2</xdr:row>
                    <xdr:rowOff>161925</xdr:rowOff>
                  </to>
                </anchor>
              </controlPr>
            </control>
          </mc:Choice>
        </mc:AlternateContent>
        <mc:AlternateContent xmlns:mc="http://schemas.openxmlformats.org/markup-compatibility/2006">
          <mc:Choice Requires="x14">
            <control shapeId="1042" r:id="rId8" name="Option Button 18">
              <controlPr defaultSize="0" autoFill="0" autoLine="0" autoPict="0" macro="[1]!EXCESO">
                <anchor moveWithCells="1">
                  <from>
                    <xdr:col>2</xdr:col>
                    <xdr:colOff>28575</xdr:colOff>
                    <xdr:row>39</xdr:row>
                    <xdr:rowOff>19050</xdr:rowOff>
                  </from>
                  <to>
                    <xdr:col>3</xdr:col>
                    <xdr:colOff>114300</xdr:colOff>
                    <xdr:row>40</xdr:row>
                    <xdr:rowOff>47625</xdr:rowOff>
                  </to>
                </anchor>
              </controlPr>
            </control>
          </mc:Choice>
        </mc:AlternateContent>
        <mc:AlternateContent xmlns:mc="http://schemas.openxmlformats.org/markup-compatibility/2006">
          <mc:Choice Requires="x14">
            <control shapeId="1055" r:id="rId9" name="Group Box 31">
              <controlPr defaultSize="0" autoFill="0" autoPict="0">
                <anchor moveWithCells="1">
                  <from>
                    <xdr:col>3</xdr:col>
                    <xdr:colOff>571500</xdr:colOff>
                    <xdr:row>50</xdr:row>
                    <xdr:rowOff>0</xdr:rowOff>
                  </from>
                  <to>
                    <xdr:col>6</xdr:col>
                    <xdr:colOff>695325</xdr:colOff>
                    <xdr:row>51</xdr:row>
                    <xdr:rowOff>266700</xdr:rowOff>
                  </to>
                </anchor>
              </controlPr>
            </control>
          </mc:Choice>
        </mc:AlternateContent>
        <mc:AlternateContent xmlns:mc="http://schemas.openxmlformats.org/markup-compatibility/2006">
          <mc:Choice Requires="x14">
            <control shapeId="1056" r:id="rId10" name="Option Button 32">
              <controlPr defaultSize="0" autoFill="0" autoLine="0" autoPict="0" macro="[0]!Macro_Radiobutton_IVA">
                <anchor moveWithCells="1">
                  <from>
                    <xdr:col>3</xdr:col>
                    <xdr:colOff>609600</xdr:colOff>
                    <xdr:row>50</xdr:row>
                    <xdr:rowOff>38100</xdr:rowOff>
                  </from>
                  <to>
                    <xdr:col>5</xdr:col>
                    <xdr:colOff>171450</xdr:colOff>
                    <xdr:row>50</xdr:row>
                    <xdr:rowOff>257175</xdr:rowOff>
                  </to>
                </anchor>
              </controlPr>
            </control>
          </mc:Choice>
        </mc:AlternateContent>
        <mc:AlternateContent xmlns:mc="http://schemas.openxmlformats.org/markup-compatibility/2006">
          <mc:Choice Requires="x14">
            <control shapeId="1057" r:id="rId11" name="Option Button 33">
              <controlPr defaultSize="0" autoFill="0" autoLine="0" autoPict="0" macro="[0]!Macro_Radiobutton_IGIC">
                <anchor moveWithCells="1">
                  <from>
                    <xdr:col>3</xdr:col>
                    <xdr:colOff>609600</xdr:colOff>
                    <xdr:row>51</xdr:row>
                    <xdr:rowOff>38100</xdr:rowOff>
                  </from>
                  <to>
                    <xdr:col>5</xdr:col>
                    <xdr:colOff>171450</xdr:colOff>
                    <xdr:row>51</xdr:row>
                    <xdr:rowOff>247650</xdr:rowOff>
                  </to>
                </anchor>
              </controlPr>
            </control>
          </mc:Choice>
        </mc:AlternateContent>
        <mc:AlternateContent xmlns:mc="http://schemas.openxmlformats.org/markup-compatibility/2006">
          <mc:Choice Requires="x14">
            <control shapeId="1063" r:id="rId12" name="Drop Down 39">
              <controlPr defaultSize="0" autoLine="0" autoPict="0" macro="[0]!Listadesplegable_TipoInstruccion_AlCambiar" altText="">
                <anchor moveWithCells="1">
                  <from>
                    <xdr:col>1</xdr:col>
                    <xdr:colOff>38100</xdr:colOff>
                    <xdr:row>15</xdr:row>
                    <xdr:rowOff>9525</xdr:rowOff>
                  </from>
                  <to>
                    <xdr:col>12</xdr:col>
                    <xdr:colOff>304800</xdr:colOff>
                    <xdr:row>16</xdr:row>
                    <xdr:rowOff>57150</xdr:rowOff>
                  </to>
                </anchor>
              </controlPr>
            </control>
          </mc:Choice>
        </mc:AlternateContent>
        <mc:AlternateContent xmlns:mc="http://schemas.openxmlformats.org/markup-compatibility/2006">
          <mc:Choice Requires="x14">
            <control shapeId="1064" r:id="rId13" name="Option Button 40">
              <controlPr defaultSize="0" autoFill="0" autoLine="0" autoPict="0" macro="[1]!PYG">
                <anchor moveWithCells="1">
                  <from>
                    <xdr:col>2</xdr:col>
                    <xdr:colOff>28575</xdr:colOff>
                    <xdr:row>36</xdr:row>
                    <xdr:rowOff>9525</xdr:rowOff>
                  </from>
                  <to>
                    <xdr:col>2</xdr:col>
                    <xdr:colOff>28575</xdr:colOff>
                    <xdr:row>37</xdr:row>
                    <xdr:rowOff>66675</xdr:rowOff>
                  </to>
                </anchor>
              </controlPr>
            </control>
          </mc:Choice>
        </mc:AlternateContent>
        <mc:AlternateContent xmlns:mc="http://schemas.openxmlformats.org/markup-compatibility/2006">
          <mc:Choice Requires="x14">
            <control shapeId="1075" r:id="rId14" name="Option Button 51">
              <controlPr defaultSize="0" autoFill="0" autoLine="0" autoPict="0" macro="[1]!PYG">
                <anchor moveWithCells="1">
                  <from>
                    <xdr:col>2</xdr:col>
                    <xdr:colOff>38100</xdr:colOff>
                    <xdr:row>35</xdr:row>
                    <xdr:rowOff>180975</xdr:rowOff>
                  </from>
                  <to>
                    <xdr:col>3</xdr:col>
                    <xdr:colOff>171450</xdr:colOff>
                    <xdr:row>37</xdr:row>
                    <xdr:rowOff>0</xdr:rowOff>
                  </to>
                </anchor>
              </controlPr>
            </control>
          </mc:Choice>
        </mc:AlternateContent>
        <mc:AlternateContent xmlns:mc="http://schemas.openxmlformats.org/markup-compatibility/2006">
          <mc:Choice Requires="x14">
            <control shapeId="1076" r:id="rId15" name="Option Button 52">
              <controlPr defaultSize="0" autoFill="0" autoLine="0" autoPict="0" macro="[1]!EXPANDIR">
                <anchor moveWithCells="1">
                  <from>
                    <xdr:col>8</xdr:col>
                    <xdr:colOff>152400</xdr:colOff>
                    <xdr:row>35</xdr:row>
                    <xdr:rowOff>171450</xdr:rowOff>
                  </from>
                  <to>
                    <xdr:col>9</xdr:col>
                    <xdr:colOff>219075</xdr:colOff>
                    <xdr:row>37</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BB63884-8663-42B0-BF98-AA7BB84E2348}">
            <xm:f>IF(Apoyo!A2="n",TRUE,FALSE)</xm:f>
            <x14:dxf>
              <font>
                <color theme="0"/>
              </font>
              <fill>
                <patternFill>
                  <bgColor rgb="FFFF0000"/>
                </patternFill>
              </fill>
            </x14:dxf>
          </x14:cfRule>
          <xm:sqref>P16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R40"/>
  <sheetViews>
    <sheetView view="pageBreakPreview" zoomScale="60" zoomScaleNormal="100" workbookViewId="0">
      <selection activeCell="E1" sqref="E1:E1048576"/>
    </sheetView>
  </sheetViews>
  <sheetFormatPr baseColWidth="10" defaultRowHeight="15" x14ac:dyDescent="0.25"/>
  <cols>
    <col min="2" max="3" width="11.28515625" bestFit="1" customWidth="1"/>
    <col min="4" max="4" width="25.28515625" bestFit="1" customWidth="1"/>
    <col min="5" max="5" width="14.85546875" bestFit="1" customWidth="1"/>
    <col min="6" max="6" width="13.140625" bestFit="1" customWidth="1"/>
    <col min="7" max="7" width="9" bestFit="1" customWidth="1"/>
    <col min="8" max="8" width="5.85546875" bestFit="1" customWidth="1"/>
    <col min="9" max="9" width="15" bestFit="1" customWidth="1"/>
    <col min="10" max="10" width="10" bestFit="1" customWidth="1"/>
    <col min="11" max="11" width="8" customWidth="1"/>
    <col min="12" max="12" width="9.85546875" bestFit="1" customWidth="1"/>
    <col min="13" max="13" width="16.7109375" bestFit="1" customWidth="1"/>
    <col min="14" max="14" width="7.85546875" bestFit="1" customWidth="1"/>
    <col min="15" max="15" width="9.5703125" bestFit="1" customWidth="1"/>
    <col min="16" max="16" width="15.42578125" bestFit="1" customWidth="1"/>
    <col min="17" max="17" width="21.5703125" bestFit="1" customWidth="1"/>
    <col min="18" max="18" width="17.140625" bestFit="1" customWidth="1"/>
  </cols>
  <sheetData>
    <row r="1" spans="1:18" s="2" customFormat="1" ht="48.75" x14ac:dyDescent="0.25">
      <c r="A1" s="3" t="s">
        <v>38</v>
      </c>
      <c r="B1" s="3" t="s">
        <v>37</v>
      </c>
      <c r="C1" s="3" t="s">
        <v>27</v>
      </c>
      <c r="D1" s="3" t="s">
        <v>24</v>
      </c>
      <c r="E1" s="3" t="s">
        <v>30</v>
      </c>
      <c r="F1" s="3" t="s">
        <v>15</v>
      </c>
      <c r="G1" s="3" t="s">
        <v>16</v>
      </c>
      <c r="H1" s="3" t="s">
        <v>17</v>
      </c>
      <c r="I1" s="3" t="s">
        <v>18</v>
      </c>
      <c r="J1" s="3" t="s">
        <v>19</v>
      </c>
      <c r="K1" s="3" t="s">
        <v>28</v>
      </c>
      <c r="L1" s="3" t="s">
        <v>33</v>
      </c>
      <c r="M1" s="3" t="s">
        <v>31</v>
      </c>
      <c r="N1" s="3" t="s">
        <v>10</v>
      </c>
      <c r="O1" s="3" t="s">
        <v>34</v>
      </c>
      <c r="P1" s="3" t="s">
        <v>39</v>
      </c>
      <c r="Q1" s="3" t="s">
        <v>35</v>
      </c>
      <c r="R1" s="3" t="s">
        <v>36</v>
      </c>
    </row>
    <row r="2" spans="1:18" s="2" customFormat="1" x14ac:dyDescent="0.25">
      <c r="A2" s="50">
        <f ca="1">CARATULA!F8</f>
        <v>43431</v>
      </c>
      <c r="B2" s="51" t="e">
        <f>IF(AND(CARATULA!O16&lt;=0,CARATULA!#REF!&lt;=0),"ERROR",IF(CARATULA!O16&gt;0,"PROCURADOR",IF(CARATULA!#REF!&gt;0,"LETRADO","ERROR")))</f>
        <v>#REF!</v>
      </c>
      <c r="C2" s="2">
        <f>CARATULA!F21</f>
        <v>0</v>
      </c>
      <c r="D2" s="52">
        <f>CARATULA!G21</f>
        <v>0</v>
      </c>
      <c r="E2" s="53">
        <f>CARATULA!D28</f>
        <v>0</v>
      </c>
      <c r="F2" s="52">
        <f>CARATULA!H28</f>
        <v>0</v>
      </c>
      <c r="G2" s="54" t="str">
        <f>TEXT(CARATULA!E11,"0000")&amp;TEXT(CARATULA!F11,"0000")</f>
        <v>00000000</v>
      </c>
      <c r="H2" s="55">
        <f>CARATULA!G11</f>
        <v>0</v>
      </c>
      <c r="I2" s="56">
        <f>CARATULA!H11</f>
        <v>0</v>
      </c>
      <c r="J2" s="57">
        <f>CARATULA!L11</f>
        <v>0</v>
      </c>
      <c r="K2" s="2">
        <f>CARATULA!D30</f>
        <v>0</v>
      </c>
      <c r="L2" s="61">
        <f>CARATULA!D32</f>
        <v>0</v>
      </c>
      <c r="M2" s="58">
        <f>CARATULA!F50</f>
        <v>0</v>
      </c>
      <c r="N2" s="59">
        <f>CARATULA!F49</f>
        <v>0</v>
      </c>
      <c r="O2" s="59">
        <f>+M2+N2</f>
        <v>0</v>
      </c>
      <c r="P2" s="59">
        <f>M2*1.21</f>
        <v>0</v>
      </c>
      <c r="Q2" s="59">
        <f>M2*(1+(0.21*0.74))</f>
        <v>0</v>
      </c>
      <c r="R2" s="59">
        <f>+Q2+N2</f>
        <v>0</v>
      </c>
    </row>
    <row r="4" spans="1:18" x14ac:dyDescent="0.25">
      <c r="L4" s="1"/>
    </row>
    <row r="6" spans="1:18" x14ac:dyDescent="0.25">
      <c r="L6" s="1"/>
    </row>
    <row r="15" spans="1:18" x14ac:dyDescent="0.25">
      <c r="P15" s="2"/>
    </row>
    <row r="40" spans="7:7" x14ac:dyDescent="0.25">
      <c r="G40">
        <v>90</v>
      </c>
    </row>
  </sheetData>
  <sheetProtection password="CE28" sheet="1" objects="1" scenarios="1"/>
  <conditionalFormatting sqref="B2">
    <cfRule type="expression" dxfId="0" priority="1">
      <formula>"ERROR"</formula>
    </cfRule>
  </conditionalFormatting>
  <pageMargins left="0.23622047244094491" right="0.23622047244094491" top="0.74803149606299213" bottom="0.74803149606299213" header="0.31496062992125984" footer="0.31496062992125984"/>
  <pageSetup paperSize="9" scale="61" fitToHeight="2" orientation="landscape" r:id="rId1"/>
  <rowBreaks count="1" manualBreakCount="1">
    <brk id="54"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9"/>
  <sheetViews>
    <sheetView workbookViewId="0">
      <selection activeCell="D2" sqref="D2"/>
    </sheetView>
  </sheetViews>
  <sheetFormatPr baseColWidth="10" defaultRowHeight="15" x14ac:dyDescent="0.25"/>
  <cols>
    <col min="1" max="1" width="78.5703125" style="78" customWidth="1"/>
    <col min="2" max="16384" width="11.42578125" style="78"/>
  </cols>
  <sheetData>
    <row r="1" spans="1:11" ht="21" x14ac:dyDescent="0.35">
      <c r="A1" s="157" t="s">
        <v>60</v>
      </c>
    </row>
    <row r="2" spans="1:11" ht="21" x14ac:dyDescent="0.35">
      <c r="A2" s="158" t="s">
        <v>3</v>
      </c>
      <c r="B2" s="151">
        <v>1</v>
      </c>
      <c r="C2" s="151"/>
      <c r="D2" s="65">
        <v>7</v>
      </c>
      <c r="E2" s="65"/>
      <c r="F2" s="65"/>
      <c r="G2" s="65"/>
      <c r="H2" s="65"/>
      <c r="I2" s="65"/>
      <c r="J2" s="72"/>
      <c r="K2" s="73"/>
    </row>
    <row r="3" spans="1:11" ht="21" x14ac:dyDescent="0.35">
      <c r="A3" s="158" t="s">
        <v>4</v>
      </c>
      <c r="B3" s="151">
        <v>2</v>
      </c>
      <c r="C3" s="151"/>
      <c r="D3" s="65"/>
      <c r="E3" s="65"/>
      <c r="F3" s="65"/>
      <c r="G3" s="65"/>
      <c r="H3" s="65"/>
      <c r="I3" s="65"/>
      <c r="J3" s="72"/>
      <c r="K3" s="73"/>
    </row>
    <row r="4" spans="1:11" ht="21" x14ac:dyDescent="0.35">
      <c r="A4" s="158" t="s">
        <v>53</v>
      </c>
      <c r="B4" s="151">
        <v>3</v>
      </c>
      <c r="C4" s="151"/>
      <c r="D4" s="65"/>
      <c r="E4" s="65"/>
      <c r="F4" s="65"/>
      <c r="G4" s="65"/>
      <c r="H4" s="65"/>
      <c r="I4" s="65"/>
      <c r="J4" s="74" t="s">
        <v>2</v>
      </c>
      <c r="K4" s="73"/>
    </row>
    <row r="5" spans="1:11" ht="21" x14ac:dyDescent="0.35">
      <c r="A5" s="159" t="s">
        <v>20</v>
      </c>
      <c r="B5" s="152">
        <v>4</v>
      </c>
      <c r="C5" s="152" t="s">
        <v>80</v>
      </c>
      <c r="D5" s="75"/>
      <c r="E5" s="75"/>
      <c r="F5" s="75"/>
      <c r="G5" s="75"/>
      <c r="H5" s="75"/>
      <c r="I5" s="75"/>
      <c r="J5" s="76" t="s">
        <v>2</v>
      </c>
      <c r="K5" s="77"/>
    </row>
    <row r="6" spans="1:11" ht="21" x14ac:dyDescent="0.35">
      <c r="A6" s="159" t="s">
        <v>79</v>
      </c>
      <c r="B6" s="152">
        <v>5</v>
      </c>
      <c r="C6" s="152" t="s">
        <v>81</v>
      </c>
      <c r="D6" s="75"/>
      <c r="E6" s="75"/>
      <c r="F6" s="75"/>
      <c r="G6" s="75"/>
      <c r="H6" s="75"/>
      <c r="I6" s="75"/>
      <c r="J6" s="76"/>
      <c r="K6" s="77"/>
    </row>
    <row r="7" spans="1:11" ht="21" x14ac:dyDescent="0.35">
      <c r="A7" s="158" t="s">
        <v>5</v>
      </c>
      <c r="B7" s="151">
        <v>6</v>
      </c>
      <c r="C7" s="151" t="s">
        <v>81</v>
      </c>
      <c r="D7" s="65"/>
      <c r="E7" s="65"/>
      <c r="F7" s="65"/>
      <c r="G7" s="65"/>
      <c r="H7" s="65"/>
      <c r="I7" s="65"/>
      <c r="J7" s="66" t="s">
        <v>2</v>
      </c>
      <c r="K7" s="73"/>
    </row>
    <row r="8" spans="1:11" ht="21" x14ac:dyDescent="0.35">
      <c r="A8" s="160" t="s">
        <v>47</v>
      </c>
      <c r="B8" s="153">
        <v>7</v>
      </c>
      <c r="C8" s="153" t="s">
        <v>80</v>
      </c>
      <c r="D8" s="79"/>
      <c r="E8" s="79"/>
      <c r="F8" s="79"/>
      <c r="G8" s="79"/>
      <c r="H8" s="79"/>
      <c r="I8" s="79"/>
      <c r="J8" s="79"/>
      <c r="K8" s="79"/>
    </row>
    <row r="9" spans="1:11" ht="21" x14ac:dyDescent="0.35">
      <c r="A9" s="158" t="s">
        <v>6</v>
      </c>
      <c r="B9" s="151">
        <v>8</v>
      </c>
      <c r="C9" s="151"/>
      <c r="D9" s="65"/>
      <c r="E9" s="65"/>
      <c r="F9" s="65"/>
      <c r="G9" s="65"/>
      <c r="H9" s="65"/>
      <c r="I9" s="65"/>
      <c r="J9" s="66" t="s">
        <v>2</v>
      </c>
      <c r="K9" s="7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CARATULA</vt:lpstr>
      <vt:lpstr>RELACION_DRIVE</vt:lpstr>
      <vt:lpstr>Apoyo</vt:lpstr>
      <vt:lpstr>CARATULA!Área_de_impresión</vt:lpstr>
      <vt:lpstr>RELACION_DRIVE!Área_de_impresión</vt:lpstr>
    </vt:vector>
  </TitlesOfParts>
  <Company>BBVA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GUAL CAÑELLAS, JAIME</dc:creator>
  <cp:lastModifiedBy>SOLIS LOPEZ ,RAFAEL</cp:lastModifiedBy>
  <cp:lastPrinted>2018-11-27T12:08:52Z</cp:lastPrinted>
  <dcterms:created xsi:type="dcterms:W3CDTF">2017-02-28T10:05:13Z</dcterms:created>
  <dcterms:modified xsi:type="dcterms:W3CDTF">2018-11-27T12:26:30Z</dcterms:modified>
</cp:coreProperties>
</file>